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poor\Downloads\"/>
    </mc:Choice>
  </mc:AlternateContent>
  <xr:revisionPtr revIDLastSave="0" documentId="13_ncr:1_{0CE83DFA-7F20-4EDF-AD52-023608D12B59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Welcome" sheetId="12" r:id="rId1"/>
    <sheet name="Model" sheetId="1" state="hidden" r:id="rId2"/>
    <sheet name="Sim Results Summary" sheetId="13" state="hidden" r:id="rId3"/>
    <sheet name="SimResults" sheetId="2" state="hidden" r:id="rId4"/>
    <sheet name="Plan1" sheetId="3" state="hidden" r:id="rId5"/>
    <sheet name="Plan2" sheetId="14" state="hidden" r:id="rId6"/>
    <sheet name="Plan3" sheetId="5" state="hidden" r:id="rId7"/>
    <sheet name="Plan4" sheetId="6" state="hidden" r:id="rId8"/>
    <sheet name="Plan5" sheetId="7" state="hidden" r:id="rId9"/>
    <sheet name="Plan6" sheetId="8" state="hidden" r:id="rId10"/>
    <sheet name="Plan7" sheetId="9" state="hidden" r:id="rId11"/>
    <sheet name="Plan8" sheetId="10" state="hidden" r:id="rId12"/>
    <sheet name="Plan9" sheetId="11" state="hidden" r:id="rId13"/>
  </sheets>
  <functionGroups builtInGroupCount="19"/>
  <definedNames>
    <definedName name="_xleta.FREQUENCY" hidden="1" xlm="1">#NAME?</definedName>
    <definedName name="_xleta.UPPER" hidden="1" xlm="1">#NAME?</definedName>
    <definedName name="AmountProduced">Model!$B$35:$G$40</definedName>
    <definedName name="Customer1Demand">Model!$B$44:$G$44</definedName>
    <definedName name="Customer1Sales">Model!$B$42:$G$42</definedName>
    <definedName name="Customer2Demand">Model!$B$48:$G$48</definedName>
    <definedName name="Customer2Sales">Model!$B$46:$G$46</definedName>
    <definedName name="Customer3Demand">Model!$B$52:$G$52</definedName>
    <definedName name="Customer3Sales">Model!$B$50:$G$50</definedName>
    <definedName name="ProdCapToronto">Model!$B$29:$G$29</definedName>
    <definedName name="ProdCapVancouver">Model!$B$33:$G$33</definedName>
    <definedName name="ProdInToronto">Model!$B$27:$G$27</definedName>
    <definedName name="ProdInVancouver">Model!$B$31:$G$31</definedName>
    <definedName name="ProductionCapacityToronto">Model!$B$29:$G$29</definedName>
    <definedName name="Profit">Model!$B$58</definedName>
    <definedName name="solver_adj" localSheetId="1" hidden="1">Model!$B$35:$G$40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100</definedName>
    <definedName name="solver_lhs1" localSheetId="1" hidden="1">Model!$B$46:$G$46</definedName>
    <definedName name="solver_lhs2" localSheetId="1" hidden="1">Model!$B$50:$G$50</definedName>
    <definedName name="solver_lhs3" localSheetId="1" hidden="1">Model!$B$42:$G$42</definedName>
    <definedName name="solver_lhs4" localSheetId="1" hidden="1">Model!$B$27:$G$27</definedName>
    <definedName name="solver_lhs5" localSheetId="1" hidden="1">Model!$B$31:$G$31</definedName>
    <definedName name="solver_lin" localSheetId="1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5</definedName>
    <definedName name="solver_nwt" localSheetId="1" hidden="1">1</definedName>
    <definedName name="solver_opt" localSheetId="1" hidden="1">Model!$B$58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1</definedName>
    <definedName name="solver_rel3" localSheetId="1" hidden="1">1</definedName>
    <definedName name="solver_rel4" localSheetId="1" hidden="1">1</definedName>
    <definedName name="solver_rel5" localSheetId="1" hidden="1">1</definedName>
    <definedName name="solver_rhs1" localSheetId="1" hidden="1">Customer2Demand</definedName>
    <definedName name="solver_rhs2" localSheetId="1" hidden="1">Customer3Demand</definedName>
    <definedName name="solver_rhs3" localSheetId="1" hidden="1">Customer1Demand</definedName>
    <definedName name="solver_rhs4" localSheetId="1" hidden="1">ProdCapToronto</definedName>
    <definedName name="solver_rhs5" localSheetId="1" hidden="1">ProdCapVancouver</definedName>
    <definedName name="solver_rlx" localSheetId="1" hidden="1">1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" i="13" l="1"/>
  <c r="L7" i="13"/>
  <c r="I7" i="13"/>
  <c r="M16" i="13"/>
  <c r="M17" i="13"/>
  <c r="M18" i="13"/>
  <c r="M19" i="13"/>
  <c r="M20" i="13"/>
  <c r="M21" i="13"/>
  <c r="M22" i="13"/>
  <c r="M23" i="13"/>
  <c r="M15" i="13"/>
  <c r="L16" i="13"/>
  <c r="L17" i="13"/>
  <c r="L18" i="13"/>
  <c r="L19" i="13"/>
  <c r="L20" i="13"/>
  <c r="L21" i="13"/>
  <c r="L22" i="13"/>
  <c r="L23" i="13"/>
  <c r="L15" i="13"/>
  <c r="K16" i="13"/>
  <c r="K17" i="13"/>
  <c r="K18" i="13"/>
  <c r="K19" i="13"/>
  <c r="K20" i="13"/>
  <c r="K21" i="13"/>
  <c r="K22" i="13"/>
  <c r="K23" i="13"/>
  <c r="K15" i="13"/>
  <c r="J16" i="13"/>
  <c r="J17" i="13"/>
  <c r="J18" i="13"/>
  <c r="J19" i="13"/>
  <c r="J20" i="13"/>
  <c r="J21" i="13"/>
  <c r="J22" i="13"/>
  <c r="J23" i="13"/>
  <c r="J15" i="13"/>
  <c r="B31" i="1"/>
  <c r="B42" i="1"/>
  <c r="B23" i="1"/>
  <c r="C29" i="1" s="1"/>
  <c r="B24" i="1"/>
  <c r="C33" i="1" s="1"/>
  <c r="B27" i="1"/>
  <c r="C27" i="1"/>
  <c r="D27" i="1"/>
  <c r="E27" i="1"/>
  <c r="F27" i="1"/>
  <c r="G27" i="1"/>
  <c r="C31" i="1"/>
  <c r="D31" i="1"/>
  <c r="E31" i="1"/>
  <c r="F31" i="1"/>
  <c r="G31" i="1"/>
  <c r="C42" i="1"/>
  <c r="D42" i="1"/>
  <c r="E42" i="1"/>
  <c r="F42" i="1"/>
  <c r="G42" i="1"/>
  <c r="B46" i="1"/>
  <c r="C46" i="1"/>
  <c r="D46" i="1"/>
  <c r="E46" i="1"/>
  <c r="F46" i="1"/>
  <c r="G46" i="1"/>
  <c r="B50" i="1"/>
  <c r="C50" i="1"/>
  <c r="D50" i="1"/>
  <c r="E50" i="1"/>
  <c r="F50" i="1"/>
  <c r="G50" i="1"/>
  <c r="B55" i="1"/>
  <c r="C55" i="1"/>
  <c r="D55" i="1"/>
  <c r="E55" i="1"/>
  <c r="F55" i="1"/>
  <c r="G55" i="1"/>
  <c r="B29" i="1" l="1"/>
  <c r="D29" i="1"/>
  <c r="B56" i="1"/>
  <c r="B58" i="1" s="1"/>
  <c r="G33" i="1"/>
  <c r="B33" i="1"/>
  <c r="D33" i="1"/>
  <c r="F33" i="1"/>
  <c r="E33" i="1"/>
  <c r="F29" i="1"/>
  <c r="G29" i="1"/>
  <c r="E29" i="1"/>
</calcChain>
</file>

<file path=xl/sharedStrings.xml><?xml version="1.0" encoding="utf-8"?>
<sst xmlns="http://schemas.openxmlformats.org/spreadsheetml/2006/main" count="114" uniqueCount="58">
  <si>
    <t>Finding Capacity Using Solver and Simulation</t>
  </si>
  <si>
    <t>Possible Combinations for Capacity Planning</t>
  </si>
  <si>
    <t>Plan Number</t>
  </si>
  <si>
    <t>Toronto</t>
  </si>
  <si>
    <t>Vancouver</t>
  </si>
  <si>
    <t>Per Unit Profit for Shipping a Case of Vaccine to Each Customer</t>
  </si>
  <si>
    <t>From Toronto</t>
  </si>
  <si>
    <t>From Vancouver</t>
  </si>
  <si>
    <t>To Customer 1</t>
  </si>
  <si>
    <t>To Customer 2</t>
  </si>
  <si>
    <t>To Customer 3</t>
  </si>
  <si>
    <t xml:space="preserve">Unit Cost to Build One Case of Annual Capacity </t>
  </si>
  <si>
    <t>Capacity Plan Used</t>
  </si>
  <si>
    <t>&lt;===You Must Input the Respective Plan Numbers Here to Get the Corresponding Capacity Values From the Table</t>
  </si>
  <si>
    <t>Capacity for Toronto</t>
  </si>
  <si>
    <t>Capacity for Vancouver</t>
  </si>
  <si>
    <t>Year</t>
  </si>
  <si>
    <t>Year 1</t>
  </si>
  <si>
    <t>Year 2</t>
  </si>
  <si>
    <t>Year 3</t>
  </si>
  <si>
    <t>Year 4</t>
  </si>
  <si>
    <t>Year 5</t>
  </si>
  <si>
    <t>Year 6</t>
  </si>
  <si>
    <t>Total Annual Production in Toronto</t>
  </si>
  <si>
    <t>&lt;=</t>
  </si>
  <si>
    <t>Max. Annual Production Capacity for Toronto</t>
  </si>
  <si>
    <t>Total Annual Production in Vancouver</t>
  </si>
  <si>
    <t>Max. Annual Prod. Capacity for Vancouver</t>
  </si>
  <si>
    <t>Amount Made in Toronto for Customer 1</t>
  </si>
  <si>
    <t>Amount Made in Toronto for Customer 2</t>
  </si>
  <si>
    <t>Amount Made in Toronto for Customer 3</t>
  </si>
  <si>
    <t>Amount Made in Vancouver for Customer 1</t>
  </si>
  <si>
    <t>Amount Made in Vancouver for Customer 2</t>
  </si>
  <si>
    <t>Amount Made in Vancouver for Customer 3</t>
  </si>
  <si>
    <t>Amount Sold to Customer 1</t>
  </si>
  <si>
    <t>Amount Demanded by Customer 1</t>
  </si>
  <si>
    <t>Amount Sold to Customer 2</t>
  </si>
  <si>
    <t>Amount Demanded by Customer 2</t>
  </si>
  <si>
    <t>Amount Sold to Customer 3</t>
  </si>
  <si>
    <t>Amount Demanded by Customer 3</t>
  </si>
  <si>
    <t>Profit from Each Year's Sales</t>
  </si>
  <si>
    <t>Total Plant Building Cost</t>
  </si>
  <si>
    <t>Total Profit</t>
  </si>
  <si>
    <t>Random Annual Demands for Each Customer</t>
  </si>
  <si>
    <t>Demand Parameters for the Triangular Distribution</t>
  </si>
  <si>
    <t>Minimum</t>
  </si>
  <si>
    <t>Most Likely</t>
  </si>
  <si>
    <t>Maximum</t>
  </si>
  <si>
    <t>Annual Demand by Customer 1</t>
  </si>
  <si>
    <t>Annual Demand by Customer 2</t>
  </si>
  <si>
    <t>Annual Demand by Customer 3</t>
  </si>
  <si>
    <t>Plan</t>
  </si>
  <si>
    <t>Toronto capacity</t>
  </si>
  <si>
    <t>Vancouver capacity</t>
  </si>
  <si>
    <t>Expected 6-year profit</t>
  </si>
  <si>
    <t>Std Dev (profit)</t>
  </si>
  <si>
    <t>Bin Upper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</si>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</sst>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\(&quot;$&quot;#,##0\)"/>
    <numFmt numFmtId="165" formatCode="&quot;$&quot;#,##0.00_);\(&quot;$&quot;#,##0.00\)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1"/>
      <color rgb="FF000000"/>
      <name val="Arial"/>
      <family val="2"/>
    </font>
    <font>
      <sz val="8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0" fillId="2" borderId="0" xfId="0" applyFill="1"/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165" fontId="0" fillId="2" borderId="0" xfId="0" applyNumberForma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64" fontId="0" fillId="0" borderId="0" xfId="0" applyNumberFormat="1"/>
    <xf numFmtId="164" fontId="1" fillId="6" borderId="0" xfId="0" applyNumberFormat="1" applyFont="1" applyFill="1"/>
    <xf numFmtId="0" fontId="2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7" borderId="0" xfId="0" applyFont="1" applyFill="1"/>
    <xf numFmtId="0" fontId="0" fillId="8" borderId="0" xfId="0" applyFill="1"/>
    <xf numFmtId="0" fontId="0" fillId="9" borderId="0" xfId="0" applyFill="1"/>
    <xf numFmtId="0" fontId="0" fillId="11" borderId="0" xfId="0" applyFill="1"/>
    <xf numFmtId="0" fontId="2" fillId="11" borderId="0" xfId="0" applyFont="1" applyFill="1"/>
    <xf numFmtId="0" fontId="1" fillId="11" borderId="0" xfId="0" applyFont="1" applyFill="1"/>
    <xf numFmtId="0" fontId="3" fillId="10" borderId="1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3" fillId="10" borderId="4" xfId="0" applyFont="1" applyFill="1" applyBorder="1" applyAlignment="1">
      <alignment horizontal="center" vertical="center"/>
    </xf>
    <xf numFmtId="0" fontId="3" fillId="10" borderId="5" xfId="0" applyFont="1" applyFill="1" applyBorder="1" applyAlignment="1">
      <alignment horizontal="center" vertical="center"/>
    </xf>
    <xf numFmtId="0" fontId="3" fillId="10" borderId="8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0" fontId="3" fillId="10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Average Profit Per plan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SimResults!$A$2:$A$10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SimResults!$D$2:$D$10</c:f>
              <c:numCache>
                <c:formatCode>General</c:formatCode>
                <c:ptCount val="9"/>
                <c:pt idx="0">
                  <c:v>9279.35</c:v>
                </c:pt>
                <c:pt idx="1">
                  <c:v>10931.825000000001</c:v>
                </c:pt>
                <c:pt idx="2">
                  <c:v>12502.775000000001</c:v>
                </c:pt>
                <c:pt idx="3">
                  <c:v>11070.45</c:v>
                </c:pt>
                <c:pt idx="4">
                  <c:v>12641.400000000001</c:v>
                </c:pt>
                <c:pt idx="5">
                  <c:v>14158.125</c:v>
                </c:pt>
                <c:pt idx="6">
                  <c:v>12742.025000000001</c:v>
                </c:pt>
                <c:pt idx="7">
                  <c:v>14258.75</c:v>
                </c:pt>
                <c:pt idx="8">
                  <c:v>15100.4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1C-4034-8C77-BEFA150D7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415275359"/>
        <c:axId val="1415266239"/>
      </c:barChart>
      <c:catAx>
        <c:axId val="1415275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266239"/>
        <c:crosses val="autoZero"/>
        <c:auto val="1"/>
        <c:lblAlgn val="ctr"/>
        <c:lblOffset val="100"/>
        <c:noMultiLvlLbl val="0"/>
      </c:catAx>
      <c:valAx>
        <c:axId val="1415266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275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Profit Distribution - Plan 1 (2 iters)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Plan1!$C$2:$C$21</c:f>
              <c:numCache>
                <c:formatCode>General</c:formatCode>
                <c:ptCount val="20"/>
                <c:pt idx="0">
                  <c:v>9164.2400000000016</c:v>
                </c:pt>
                <c:pt idx="1">
                  <c:v>9177.0300000000007</c:v>
                </c:pt>
                <c:pt idx="2">
                  <c:v>9189.82</c:v>
                </c:pt>
                <c:pt idx="3">
                  <c:v>9202.61</c:v>
                </c:pt>
                <c:pt idx="4">
                  <c:v>9215.4000000000015</c:v>
                </c:pt>
                <c:pt idx="5">
                  <c:v>9228.19</c:v>
                </c:pt>
                <c:pt idx="6">
                  <c:v>9240.98</c:v>
                </c:pt>
                <c:pt idx="7">
                  <c:v>9253.77</c:v>
                </c:pt>
                <c:pt idx="8">
                  <c:v>9266.5600000000013</c:v>
                </c:pt>
                <c:pt idx="9">
                  <c:v>9279.35</c:v>
                </c:pt>
                <c:pt idx="10">
                  <c:v>9292.14</c:v>
                </c:pt>
                <c:pt idx="11">
                  <c:v>9304.93</c:v>
                </c:pt>
                <c:pt idx="12">
                  <c:v>9317.7200000000012</c:v>
                </c:pt>
                <c:pt idx="13">
                  <c:v>9330.51</c:v>
                </c:pt>
                <c:pt idx="14">
                  <c:v>9343.2999999999993</c:v>
                </c:pt>
                <c:pt idx="15">
                  <c:v>9356.09</c:v>
                </c:pt>
                <c:pt idx="16">
                  <c:v>9368.880000000001</c:v>
                </c:pt>
                <c:pt idx="17">
                  <c:v>9381.67</c:v>
                </c:pt>
                <c:pt idx="18">
                  <c:v>9394.4599999999991</c:v>
                </c:pt>
                <c:pt idx="19">
                  <c:v>9407.25</c:v>
                </c:pt>
              </c:numCache>
            </c:numRef>
          </c:cat>
          <c:val>
            <c:numRef>
              <c:f>Plan1!$D$2:$D$21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CB-4338-BB45-A32777DAF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4161711"/>
        <c:axId val="664160751"/>
      </c:barChart>
      <c:catAx>
        <c:axId val="6641617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Bin Upper Bound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4160751"/>
        <c:crosses val="autoZero"/>
        <c:auto val="1"/>
        <c:lblAlgn val="ctr"/>
        <c:lblOffset val="100"/>
        <c:noMultiLvlLbl val="0"/>
      </c:catAx>
      <c:valAx>
        <c:axId val="6641607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41617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Profit Distribution - Plan 2 (2 iters)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Plan2!$C$2:$C$21</c:f>
              <c:numCache>
                <c:formatCode>General</c:formatCode>
                <c:ptCount val="20"/>
                <c:pt idx="0">
                  <c:v>10805.442499999999</c:v>
                </c:pt>
                <c:pt idx="1">
                  <c:v>10819.485000000001</c:v>
                </c:pt>
                <c:pt idx="2">
                  <c:v>10833.5275</c:v>
                </c:pt>
                <c:pt idx="3">
                  <c:v>10847.57</c:v>
                </c:pt>
                <c:pt idx="4">
                  <c:v>10861.612499999999</c:v>
                </c:pt>
                <c:pt idx="5">
                  <c:v>10875.654999999999</c:v>
                </c:pt>
                <c:pt idx="6">
                  <c:v>10889.6975</c:v>
                </c:pt>
                <c:pt idx="7">
                  <c:v>10903.74</c:v>
                </c:pt>
                <c:pt idx="8">
                  <c:v>10917.782499999999</c:v>
                </c:pt>
                <c:pt idx="9">
                  <c:v>10931.825000000001</c:v>
                </c:pt>
                <c:pt idx="10">
                  <c:v>10945.8675</c:v>
                </c:pt>
                <c:pt idx="11">
                  <c:v>10959.91</c:v>
                </c:pt>
                <c:pt idx="12">
                  <c:v>10973.952499999999</c:v>
                </c:pt>
                <c:pt idx="13">
                  <c:v>10987.994999999999</c:v>
                </c:pt>
                <c:pt idx="14">
                  <c:v>11002.0375</c:v>
                </c:pt>
                <c:pt idx="15">
                  <c:v>11016.08</c:v>
                </c:pt>
                <c:pt idx="16">
                  <c:v>11030.122499999999</c:v>
                </c:pt>
                <c:pt idx="17">
                  <c:v>11044.165000000001</c:v>
                </c:pt>
                <c:pt idx="18">
                  <c:v>11058.2075</c:v>
                </c:pt>
                <c:pt idx="19">
                  <c:v>11072.25</c:v>
                </c:pt>
              </c:numCache>
            </c:numRef>
          </c:cat>
          <c:val>
            <c:numRef>
              <c:f>Plan2!$D$2:$D$21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1-4724-8FA1-D19FA7F77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4873376"/>
        <c:axId val="1124873856"/>
      </c:barChart>
      <c:catAx>
        <c:axId val="1124873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Bin Upper Bound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4873856"/>
        <c:crosses val="autoZero"/>
        <c:auto val="1"/>
        <c:lblAlgn val="ctr"/>
        <c:lblOffset val="100"/>
        <c:noMultiLvlLbl val="0"/>
      </c:catAx>
      <c:valAx>
        <c:axId val="1124873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4873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Profit Distribution - Plan 3 (2 iters)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Plan3!$C$2:$C$21</c:f>
              <c:numCache>
                <c:formatCode>General</c:formatCode>
                <c:ptCount val="20"/>
                <c:pt idx="0">
                  <c:v>12383.007500000002</c:v>
                </c:pt>
                <c:pt idx="1">
                  <c:v>12396.315000000001</c:v>
                </c:pt>
                <c:pt idx="2">
                  <c:v>12409.622500000001</c:v>
                </c:pt>
                <c:pt idx="3">
                  <c:v>12422.93</c:v>
                </c:pt>
                <c:pt idx="4">
                  <c:v>12436.237500000001</c:v>
                </c:pt>
                <c:pt idx="5">
                  <c:v>12449.545</c:v>
                </c:pt>
                <c:pt idx="6">
                  <c:v>12462.852500000001</c:v>
                </c:pt>
                <c:pt idx="7">
                  <c:v>12476.16</c:v>
                </c:pt>
                <c:pt idx="8">
                  <c:v>12489.467500000001</c:v>
                </c:pt>
                <c:pt idx="9">
                  <c:v>12502.775</c:v>
                </c:pt>
                <c:pt idx="10">
                  <c:v>12516.0825</c:v>
                </c:pt>
                <c:pt idx="11">
                  <c:v>12529.390000000001</c:v>
                </c:pt>
                <c:pt idx="12">
                  <c:v>12542.6975</c:v>
                </c:pt>
                <c:pt idx="13">
                  <c:v>12556.005000000001</c:v>
                </c:pt>
                <c:pt idx="14">
                  <c:v>12569.3125</c:v>
                </c:pt>
                <c:pt idx="15">
                  <c:v>12582.62</c:v>
                </c:pt>
                <c:pt idx="16">
                  <c:v>12595.9275</c:v>
                </c:pt>
                <c:pt idx="17">
                  <c:v>12609.235000000001</c:v>
                </c:pt>
                <c:pt idx="18">
                  <c:v>12622.5425</c:v>
                </c:pt>
                <c:pt idx="19">
                  <c:v>12635.85</c:v>
                </c:pt>
              </c:numCache>
            </c:numRef>
          </c:cat>
          <c:val>
            <c:numRef>
              <c:f>Plan3!$D$2:$D$21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22-431F-BD07-2FF203D5A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4843920"/>
        <c:axId val="944842000"/>
      </c:barChart>
      <c:catAx>
        <c:axId val="944843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Bin Upper Bound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44842000"/>
        <c:crosses val="autoZero"/>
        <c:auto val="1"/>
        <c:lblAlgn val="ctr"/>
        <c:lblOffset val="100"/>
        <c:noMultiLvlLbl val="0"/>
      </c:catAx>
      <c:valAx>
        <c:axId val="9448420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448439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Profit Distribution - Plan 4 (2 iters)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Plan4!$C$2:$C$21</c:f>
              <c:numCache>
                <c:formatCode>General</c:formatCode>
                <c:ptCount val="20"/>
                <c:pt idx="0">
                  <c:v>10929.779999999999</c:v>
                </c:pt>
                <c:pt idx="1">
                  <c:v>10945.41</c:v>
                </c:pt>
                <c:pt idx="2">
                  <c:v>10961.039999999999</c:v>
                </c:pt>
                <c:pt idx="3">
                  <c:v>10976.67</c:v>
                </c:pt>
                <c:pt idx="4">
                  <c:v>10992.3</c:v>
                </c:pt>
                <c:pt idx="5">
                  <c:v>11007.93</c:v>
                </c:pt>
                <c:pt idx="6">
                  <c:v>11023.56</c:v>
                </c:pt>
                <c:pt idx="7">
                  <c:v>11039.19</c:v>
                </c:pt>
                <c:pt idx="8">
                  <c:v>11054.82</c:v>
                </c:pt>
                <c:pt idx="9">
                  <c:v>11070.45</c:v>
                </c:pt>
                <c:pt idx="10">
                  <c:v>11086.08</c:v>
                </c:pt>
                <c:pt idx="11">
                  <c:v>11101.71</c:v>
                </c:pt>
                <c:pt idx="12">
                  <c:v>11117.34</c:v>
                </c:pt>
                <c:pt idx="13">
                  <c:v>11132.97</c:v>
                </c:pt>
                <c:pt idx="14">
                  <c:v>11148.6</c:v>
                </c:pt>
                <c:pt idx="15">
                  <c:v>11164.23</c:v>
                </c:pt>
                <c:pt idx="16">
                  <c:v>11179.86</c:v>
                </c:pt>
                <c:pt idx="17">
                  <c:v>11195.49</c:v>
                </c:pt>
                <c:pt idx="18">
                  <c:v>11211.12</c:v>
                </c:pt>
                <c:pt idx="19">
                  <c:v>11226.75</c:v>
                </c:pt>
              </c:numCache>
            </c:numRef>
          </c:cat>
          <c:val>
            <c:numRef>
              <c:f>Plan4!$D$2:$D$21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42-4C7E-81DD-1B331EC8B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4794144"/>
        <c:axId val="964792704"/>
      </c:barChart>
      <c:catAx>
        <c:axId val="964794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Bin Upper Bound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4792704"/>
        <c:crosses val="autoZero"/>
        <c:auto val="1"/>
        <c:lblAlgn val="ctr"/>
        <c:lblOffset val="100"/>
        <c:noMultiLvlLbl val="0"/>
      </c:catAx>
      <c:valAx>
        <c:axId val="964792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4794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Profit Distribution - Plan 5 (2 iters)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Plan5!$C$2:$C$21</c:f>
              <c:numCache>
                <c:formatCode>General</c:formatCode>
                <c:ptCount val="20"/>
                <c:pt idx="0">
                  <c:v>12507.345000000001</c:v>
                </c:pt>
                <c:pt idx="1">
                  <c:v>12522.240000000002</c:v>
                </c:pt>
                <c:pt idx="2">
                  <c:v>12537.135</c:v>
                </c:pt>
                <c:pt idx="3">
                  <c:v>12552.03</c:v>
                </c:pt>
                <c:pt idx="4">
                  <c:v>12566.925000000001</c:v>
                </c:pt>
                <c:pt idx="5">
                  <c:v>12581.82</c:v>
                </c:pt>
                <c:pt idx="6">
                  <c:v>12596.715</c:v>
                </c:pt>
                <c:pt idx="7">
                  <c:v>12611.61</c:v>
                </c:pt>
                <c:pt idx="8">
                  <c:v>12626.505000000001</c:v>
                </c:pt>
                <c:pt idx="9">
                  <c:v>12641.400000000001</c:v>
                </c:pt>
                <c:pt idx="10">
                  <c:v>12656.295</c:v>
                </c:pt>
                <c:pt idx="11">
                  <c:v>12671.19</c:v>
                </c:pt>
                <c:pt idx="12">
                  <c:v>12686.085000000001</c:v>
                </c:pt>
                <c:pt idx="13">
                  <c:v>12700.98</c:v>
                </c:pt>
                <c:pt idx="14">
                  <c:v>12715.875</c:v>
                </c:pt>
                <c:pt idx="15">
                  <c:v>12730.77</c:v>
                </c:pt>
                <c:pt idx="16">
                  <c:v>12745.665000000001</c:v>
                </c:pt>
                <c:pt idx="17">
                  <c:v>12760.560000000001</c:v>
                </c:pt>
                <c:pt idx="18">
                  <c:v>12775.455</c:v>
                </c:pt>
                <c:pt idx="19">
                  <c:v>12790.35</c:v>
                </c:pt>
              </c:numCache>
            </c:numRef>
          </c:cat>
          <c:val>
            <c:numRef>
              <c:f>Plan5!$D$2:$D$21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6-473F-A76B-3FACB4A82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4794624"/>
        <c:axId val="964793184"/>
      </c:barChart>
      <c:catAx>
        <c:axId val="964794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Bin Upper Bound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4793184"/>
        <c:crosses val="autoZero"/>
        <c:auto val="1"/>
        <c:lblAlgn val="ctr"/>
        <c:lblOffset val="100"/>
        <c:noMultiLvlLbl val="0"/>
      </c:catAx>
      <c:valAx>
        <c:axId val="964793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64794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Profit Distribution - Plan 6 (2 iters)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Plan6!$C$2:$C$21</c:f>
              <c:numCache>
                <c:formatCode>General</c:formatCode>
                <c:ptCount val="20"/>
                <c:pt idx="0">
                  <c:v>14015.092500000001</c:v>
                </c:pt>
                <c:pt idx="1">
                  <c:v>14030.985000000001</c:v>
                </c:pt>
                <c:pt idx="2">
                  <c:v>14046.877500000001</c:v>
                </c:pt>
                <c:pt idx="3">
                  <c:v>14062.77</c:v>
                </c:pt>
                <c:pt idx="4">
                  <c:v>14078.6625</c:v>
                </c:pt>
                <c:pt idx="5">
                  <c:v>14094.555</c:v>
                </c:pt>
                <c:pt idx="6">
                  <c:v>14110.4475</c:v>
                </c:pt>
                <c:pt idx="7">
                  <c:v>14126.34</c:v>
                </c:pt>
                <c:pt idx="8">
                  <c:v>14142.2325</c:v>
                </c:pt>
                <c:pt idx="9">
                  <c:v>14158.125</c:v>
                </c:pt>
                <c:pt idx="10">
                  <c:v>14174.0175</c:v>
                </c:pt>
                <c:pt idx="11">
                  <c:v>14189.91</c:v>
                </c:pt>
                <c:pt idx="12">
                  <c:v>14205.8025</c:v>
                </c:pt>
                <c:pt idx="13">
                  <c:v>14221.695</c:v>
                </c:pt>
                <c:pt idx="14">
                  <c:v>14237.5875</c:v>
                </c:pt>
                <c:pt idx="15">
                  <c:v>14253.48</c:v>
                </c:pt>
                <c:pt idx="16">
                  <c:v>14269.372499999999</c:v>
                </c:pt>
                <c:pt idx="17">
                  <c:v>14285.264999999999</c:v>
                </c:pt>
                <c:pt idx="18">
                  <c:v>14301.157499999999</c:v>
                </c:pt>
                <c:pt idx="19">
                  <c:v>14317.05</c:v>
                </c:pt>
              </c:numCache>
            </c:numRef>
          </c:cat>
          <c:val>
            <c:numRef>
              <c:f>Plan6!$D$2:$D$21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6-41C4-9D8D-7008A0834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913535"/>
        <c:axId val="81916415"/>
      </c:barChart>
      <c:catAx>
        <c:axId val="81913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Bin Upper Bound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916415"/>
        <c:crosses val="autoZero"/>
        <c:auto val="1"/>
        <c:lblAlgn val="ctr"/>
        <c:lblOffset val="100"/>
        <c:noMultiLvlLbl val="0"/>
      </c:catAx>
      <c:valAx>
        <c:axId val="819164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91353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Profit Distribution - Plan 7 (2 iters)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Plan7!$C$2:$C$21</c:f>
              <c:numCache>
                <c:formatCode>General</c:formatCode>
                <c:ptCount val="20"/>
                <c:pt idx="0">
                  <c:v>12592.557500000001</c:v>
                </c:pt>
                <c:pt idx="1">
                  <c:v>12609.165000000001</c:v>
                </c:pt>
                <c:pt idx="2">
                  <c:v>12625.772500000001</c:v>
                </c:pt>
                <c:pt idx="3">
                  <c:v>12642.380000000001</c:v>
                </c:pt>
                <c:pt idx="4">
                  <c:v>12658.987500000001</c:v>
                </c:pt>
                <c:pt idx="5">
                  <c:v>12675.595000000001</c:v>
                </c:pt>
                <c:pt idx="6">
                  <c:v>12692.202500000001</c:v>
                </c:pt>
                <c:pt idx="7">
                  <c:v>12708.810000000001</c:v>
                </c:pt>
                <c:pt idx="8">
                  <c:v>12725.417500000001</c:v>
                </c:pt>
                <c:pt idx="9">
                  <c:v>12742.025</c:v>
                </c:pt>
                <c:pt idx="10">
                  <c:v>12758.6325</c:v>
                </c:pt>
                <c:pt idx="11">
                  <c:v>12775.24</c:v>
                </c:pt>
                <c:pt idx="12">
                  <c:v>12791.8475</c:v>
                </c:pt>
                <c:pt idx="13">
                  <c:v>12808.455</c:v>
                </c:pt>
                <c:pt idx="14">
                  <c:v>12825.0625</c:v>
                </c:pt>
                <c:pt idx="15">
                  <c:v>12841.67</c:v>
                </c:pt>
                <c:pt idx="16">
                  <c:v>12858.2775</c:v>
                </c:pt>
                <c:pt idx="17">
                  <c:v>12874.885</c:v>
                </c:pt>
                <c:pt idx="18">
                  <c:v>12891.4925</c:v>
                </c:pt>
                <c:pt idx="19">
                  <c:v>12908.1</c:v>
                </c:pt>
              </c:numCache>
            </c:numRef>
          </c:cat>
          <c:val>
            <c:numRef>
              <c:f>Plan7!$D$2:$D$21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D-411C-9795-AA3898D45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921215"/>
        <c:axId val="81914495"/>
      </c:barChart>
      <c:catAx>
        <c:axId val="819212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Bin Upper Bound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914495"/>
        <c:crosses val="autoZero"/>
        <c:auto val="1"/>
        <c:lblAlgn val="ctr"/>
        <c:lblOffset val="100"/>
        <c:noMultiLvlLbl val="0"/>
      </c:catAx>
      <c:valAx>
        <c:axId val="819144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92121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Profit Distribution - Plan 8 (2 iters)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Plan8!$C$2:$C$21</c:f>
              <c:numCache>
                <c:formatCode>General</c:formatCode>
                <c:ptCount val="20"/>
                <c:pt idx="0">
                  <c:v>14100.305</c:v>
                </c:pt>
                <c:pt idx="1">
                  <c:v>14117.91</c:v>
                </c:pt>
                <c:pt idx="2">
                  <c:v>14135.515000000001</c:v>
                </c:pt>
                <c:pt idx="3">
                  <c:v>14153.12</c:v>
                </c:pt>
                <c:pt idx="4">
                  <c:v>14170.725</c:v>
                </c:pt>
                <c:pt idx="5">
                  <c:v>14188.33</c:v>
                </c:pt>
                <c:pt idx="6">
                  <c:v>14205.934999999999</c:v>
                </c:pt>
                <c:pt idx="7">
                  <c:v>14223.54</c:v>
                </c:pt>
                <c:pt idx="8">
                  <c:v>14241.145</c:v>
                </c:pt>
                <c:pt idx="9">
                  <c:v>14258.75</c:v>
                </c:pt>
                <c:pt idx="10">
                  <c:v>14276.355</c:v>
                </c:pt>
                <c:pt idx="11">
                  <c:v>14293.96</c:v>
                </c:pt>
                <c:pt idx="12">
                  <c:v>14311.565000000001</c:v>
                </c:pt>
                <c:pt idx="13">
                  <c:v>14329.17</c:v>
                </c:pt>
                <c:pt idx="14">
                  <c:v>14346.775</c:v>
                </c:pt>
                <c:pt idx="15">
                  <c:v>14364.38</c:v>
                </c:pt>
                <c:pt idx="16">
                  <c:v>14381.984999999999</c:v>
                </c:pt>
                <c:pt idx="17">
                  <c:v>14399.59</c:v>
                </c:pt>
                <c:pt idx="18">
                  <c:v>14417.195</c:v>
                </c:pt>
                <c:pt idx="19">
                  <c:v>14434.8</c:v>
                </c:pt>
              </c:numCache>
            </c:numRef>
          </c:cat>
          <c:val>
            <c:numRef>
              <c:f>Plan8!$D$2:$D$21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37-413A-9EE9-4CCC211EB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915935"/>
        <c:axId val="81916895"/>
      </c:barChart>
      <c:catAx>
        <c:axId val="81915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Bin Upper Bound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916895"/>
        <c:crosses val="autoZero"/>
        <c:auto val="1"/>
        <c:lblAlgn val="ctr"/>
        <c:lblOffset val="100"/>
        <c:noMultiLvlLbl val="0"/>
      </c:catAx>
      <c:valAx>
        <c:axId val="819168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91593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Profit Distribution - Plan 9 (2 iters)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Plan9!$C$2:$C$21</c:f>
              <c:numCache>
                <c:formatCode>General</c:formatCode>
                <c:ptCount val="20"/>
                <c:pt idx="0">
                  <c:v>14374.415000000001</c:v>
                </c:pt>
                <c:pt idx="1">
                  <c:v>14455.08</c:v>
                </c:pt>
                <c:pt idx="2">
                  <c:v>14535.744999999999</c:v>
                </c:pt>
                <c:pt idx="3">
                  <c:v>14616.41</c:v>
                </c:pt>
                <c:pt idx="4">
                  <c:v>14697.075000000001</c:v>
                </c:pt>
                <c:pt idx="5">
                  <c:v>14777.74</c:v>
                </c:pt>
                <c:pt idx="6">
                  <c:v>14858.404999999999</c:v>
                </c:pt>
                <c:pt idx="7">
                  <c:v>14939.07</c:v>
                </c:pt>
                <c:pt idx="8">
                  <c:v>15019.735000000001</c:v>
                </c:pt>
                <c:pt idx="9">
                  <c:v>15100.4</c:v>
                </c:pt>
                <c:pt idx="10">
                  <c:v>15181.064999999999</c:v>
                </c:pt>
                <c:pt idx="11">
                  <c:v>15261.73</c:v>
                </c:pt>
                <c:pt idx="12">
                  <c:v>15342.395</c:v>
                </c:pt>
                <c:pt idx="13">
                  <c:v>15423.06</c:v>
                </c:pt>
                <c:pt idx="14">
                  <c:v>15503.724999999999</c:v>
                </c:pt>
                <c:pt idx="15">
                  <c:v>15584.39</c:v>
                </c:pt>
                <c:pt idx="16">
                  <c:v>15665.055</c:v>
                </c:pt>
                <c:pt idx="17">
                  <c:v>15745.72</c:v>
                </c:pt>
                <c:pt idx="18">
                  <c:v>15826.384999999998</c:v>
                </c:pt>
                <c:pt idx="19">
                  <c:v>15907.05</c:v>
                </c:pt>
              </c:numCache>
            </c:numRef>
          </c:cat>
          <c:val>
            <c:numRef>
              <c:f>Plan9!$D$2:$D$21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76-4189-989C-4BD275134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917855"/>
        <c:axId val="81924575"/>
      </c:barChart>
      <c:catAx>
        <c:axId val="819178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Bin Upper Bound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924575"/>
        <c:crosses val="autoZero"/>
        <c:auto val="1"/>
        <c:lblAlgn val="ctr"/>
        <c:lblOffset val="100"/>
        <c:noMultiLvlLbl val="0"/>
      </c:catAx>
      <c:valAx>
        <c:axId val="81924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191785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svg"/><Relationship Id="rId7" Type="http://schemas.openxmlformats.org/officeDocument/2006/relationships/image" Target="../media/image9.svg"/><Relationship Id="rId2" Type="http://schemas.openxmlformats.org/officeDocument/2006/relationships/image" Target="../media/image4.png"/><Relationship Id="rId1" Type="http://schemas.openxmlformats.org/officeDocument/2006/relationships/image" Target="../media/image3.jpeg"/><Relationship Id="rId6" Type="http://schemas.openxmlformats.org/officeDocument/2006/relationships/image" Target="../media/image8.png"/><Relationship Id="rId5" Type="http://schemas.openxmlformats.org/officeDocument/2006/relationships/image" Target="../media/image7.svg"/><Relationship Id="rId4" Type="http://schemas.openxmlformats.org/officeDocument/2006/relationships/image" Target="../media/image6.png"/><Relationship Id="rId9" Type="http://schemas.openxmlformats.org/officeDocument/2006/relationships/image" Target="../media/image11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392697</xdr:colOff>
      <xdr:row>2</xdr:row>
      <xdr:rowOff>110079</xdr:rowOff>
    </xdr:from>
    <xdr:ext cx="7285789" cy="49629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CEF030B-FF07-317F-4DA4-9F613510F08D}"/>
            </a:ext>
          </a:extLst>
        </xdr:cNvPr>
        <xdr:cNvSpPr txBox="1"/>
      </xdr:nvSpPr>
      <xdr:spPr>
        <a:xfrm>
          <a:off x="4277894" y="435934"/>
          <a:ext cx="7285789" cy="4962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800"/>
            <a:t>DIVOC-91 Vaccine Capacity Planning Simulator</a:t>
          </a:r>
          <a:endParaRPr lang="en-US" sz="2800" b="1">
            <a:solidFill>
              <a:schemeClr val="bg1">
                <a:lumMod val="95000"/>
              </a:schemeClr>
            </a:solidFill>
          </a:endParaRPr>
        </a:p>
      </xdr:txBody>
    </xdr:sp>
    <xdr:clientData/>
  </xdr:oneCellAnchor>
  <xdr:twoCellAnchor editAs="oneCell">
    <xdr:from>
      <xdr:col>9</xdr:col>
      <xdr:colOff>292435</xdr:colOff>
      <xdr:row>27</xdr:row>
      <xdr:rowOff>29242</xdr:rowOff>
    </xdr:from>
    <xdr:to>
      <xdr:col>15</xdr:col>
      <xdr:colOff>647528</xdr:colOff>
      <xdr:row>39</xdr:row>
      <xdr:rowOff>143947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30B66F-4F7A-0408-F3DF-404D01884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20231" y="4428288"/>
          <a:ext cx="4240291" cy="2069837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</xdr:spPr>
    </xdr:pic>
    <xdr:clientData/>
  </xdr:twoCellAnchor>
  <xdr:twoCellAnchor>
    <xdr:from>
      <xdr:col>8</xdr:col>
      <xdr:colOff>555624</xdr:colOff>
      <xdr:row>7</xdr:row>
      <xdr:rowOff>125327</xdr:rowOff>
    </xdr:from>
    <xdr:to>
      <xdr:col>16</xdr:col>
      <xdr:colOff>438652</xdr:colOff>
      <xdr:row>26</xdr:row>
      <xdr:rowOff>41776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D8DDC7B-EE01-56B1-A07A-40FD1C68BB4C}"/>
            </a:ext>
          </a:extLst>
        </xdr:cNvPr>
        <xdr:cNvSpPr/>
      </xdr:nvSpPr>
      <xdr:spPr>
        <a:xfrm>
          <a:off x="5735887" y="1265821"/>
          <a:ext cx="5063291" cy="301207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tx1"/>
              </a:solidFill>
            </a:rPr>
            <a:t>Welcome to the Ebola Vaccine Capacity Planning Tool</a:t>
          </a:r>
        </a:p>
        <a:p>
          <a:pPr algn="l"/>
          <a:endParaRPr lang="en-US" sz="1100">
            <a:solidFill>
              <a:schemeClr val="tx1"/>
            </a:solidFill>
          </a:endParaRPr>
        </a:p>
        <a:p>
          <a:pPr algn="l"/>
          <a:r>
            <a:rPr lang="en-US" sz="1100">
              <a:solidFill>
                <a:schemeClr val="tx1"/>
              </a:solidFill>
            </a:rPr>
            <a:t>This model evaluates a range of capacity configurations between Vancouver and Toronto to identify the most resilient and profitable production strategy. </a:t>
          </a:r>
        </a:p>
        <a:p>
          <a:pPr algn="l"/>
          <a:endParaRPr lang="en-US" sz="1100">
            <a:solidFill>
              <a:schemeClr val="tx1"/>
            </a:solidFill>
          </a:endParaRPr>
        </a:p>
        <a:p>
          <a:pPr algn="l"/>
          <a:r>
            <a:rPr lang="en-US" sz="1100">
              <a:solidFill>
                <a:schemeClr val="tx1"/>
              </a:solidFill>
            </a:rPr>
            <a:t>Use this tool to explore how different capacity plans perform under uncertain demand, compare expected profits, and understand the impact of allocation decisions.</a:t>
          </a:r>
        </a:p>
        <a:p>
          <a:pPr algn="l"/>
          <a:endParaRPr lang="en-US" sz="1100">
            <a:solidFill>
              <a:schemeClr val="tx1"/>
            </a:solidFill>
          </a:endParaRPr>
        </a:p>
        <a:p>
          <a:pPr algn="l"/>
          <a:r>
            <a:rPr lang="en-US" sz="1100" baseline="0">
              <a:solidFill>
                <a:schemeClr val="tx1"/>
              </a:solidFill>
            </a:rPr>
            <a:t>                    </a:t>
          </a:r>
          <a:r>
            <a:rPr lang="en-US" sz="1100">
              <a:solidFill>
                <a:schemeClr val="tx1"/>
              </a:solidFill>
            </a:rPr>
            <a:t>Learn about the </a:t>
          </a:r>
          <a:r>
            <a:rPr lang="en-US" sz="1100" b="1">
              <a:solidFill>
                <a:schemeClr val="tx1"/>
              </a:solidFill>
            </a:rPr>
            <a:t>capacity plans</a:t>
          </a:r>
        </a:p>
        <a:p>
          <a:pPr algn="l"/>
          <a:endParaRPr lang="en-US" sz="1100">
            <a:solidFill>
              <a:schemeClr val="tx1"/>
            </a:solidFill>
          </a:endParaRPr>
        </a:p>
        <a:p>
          <a:pPr algn="l"/>
          <a:endParaRPr lang="en-US" sz="1100">
            <a:solidFill>
              <a:schemeClr val="tx1"/>
            </a:solidFill>
          </a:endParaRPr>
        </a:p>
        <a:p>
          <a:pPr algn="l"/>
          <a:r>
            <a:rPr lang="en-US" sz="1100" baseline="0">
              <a:solidFill>
                <a:schemeClr val="tx1"/>
              </a:solidFill>
            </a:rPr>
            <a:t>                    </a:t>
          </a:r>
          <a:r>
            <a:rPr lang="en-US" sz="1100">
              <a:solidFill>
                <a:schemeClr val="tx1"/>
              </a:solidFill>
            </a:rPr>
            <a:t>Learn about the simulation </a:t>
          </a:r>
          <a:r>
            <a:rPr lang="en-US" sz="1100" b="1">
              <a:solidFill>
                <a:schemeClr val="tx1"/>
              </a:solidFill>
            </a:rPr>
            <a:t>process</a:t>
          </a:r>
        </a:p>
        <a:p>
          <a:pPr algn="l"/>
          <a:endParaRPr lang="en-US" sz="1100">
            <a:solidFill>
              <a:schemeClr val="tx1"/>
            </a:solidFill>
          </a:endParaRPr>
        </a:p>
        <a:p>
          <a:pPr algn="l"/>
          <a:endParaRPr lang="en-US" sz="1100">
            <a:solidFill>
              <a:schemeClr val="tx1"/>
            </a:solidFill>
          </a:endParaRPr>
        </a:p>
        <a:p>
          <a:pPr algn="l"/>
          <a:r>
            <a:rPr lang="en-US" sz="1100" b="0" baseline="0">
              <a:solidFill>
                <a:schemeClr val="tx1"/>
              </a:solidFill>
            </a:rPr>
            <a:t>                    </a:t>
          </a:r>
          <a:r>
            <a:rPr lang="en-US" sz="1100" b="1">
              <a:solidFill>
                <a:schemeClr val="tx1"/>
              </a:solidFill>
            </a:rPr>
            <a:t>Run and evaluate</a:t>
          </a:r>
          <a:r>
            <a:rPr lang="en-US" sz="1100">
              <a:solidFill>
                <a:schemeClr val="tx1"/>
              </a:solidFill>
            </a:rPr>
            <a:t> the simulation</a:t>
          </a:r>
        </a:p>
        <a:p>
          <a:pPr algn="l"/>
          <a:endParaRPr lang="en-US" sz="1100">
            <a:solidFill>
              <a:schemeClr val="tx1"/>
            </a:solidFill>
          </a:endParaRPr>
        </a:p>
        <a:p>
          <a:pPr algn="l"/>
          <a:endParaRPr lang="en-US" sz="1100">
            <a:solidFill>
              <a:schemeClr val="tx1"/>
            </a:solidFill>
          </a:endParaRPr>
        </a:p>
        <a:p>
          <a:pPr algn="l"/>
          <a:endParaRPr lang="en-US" sz="1100">
            <a:solidFill>
              <a:schemeClr val="tx1"/>
            </a:solidFill>
          </a:endParaRPr>
        </a:p>
        <a:p>
          <a:pPr algn="l"/>
          <a:endParaRPr lang="en-US" sz="1100">
            <a:solidFill>
              <a:schemeClr val="tx1"/>
            </a:solidFill>
          </a:endParaRPr>
        </a:p>
        <a:p>
          <a:pPr algn="l"/>
          <a:endParaRPr lang="en-US" sz="1100">
            <a:solidFill>
              <a:schemeClr val="tx1"/>
            </a:solidFill>
          </a:endParaRPr>
        </a:p>
        <a:p>
          <a:pPr algn="l"/>
          <a:endParaRPr lang="en-US" sz="1100"/>
        </a:p>
      </xdr:txBody>
    </xdr:sp>
    <xdr:clientData/>
  </xdr:twoCellAnchor>
  <xdr:twoCellAnchor>
    <xdr:from>
      <xdr:col>14</xdr:col>
      <xdr:colOff>158749</xdr:colOff>
      <xdr:row>20</xdr:row>
      <xdr:rowOff>8352</xdr:rowOff>
    </xdr:from>
    <xdr:to>
      <xdr:col>15</xdr:col>
      <xdr:colOff>288254</xdr:colOff>
      <xdr:row>21</xdr:row>
      <xdr:rowOff>133680</xdr:rowOff>
    </xdr:to>
    <xdr:sp macro="[0]!ShowProcessForm" textlink="">
      <xdr:nvSpPr>
        <xdr:cNvPr id="12" name="Flowchart: Terminator 11">
          <a:extLst>
            <a:ext uri="{FF2B5EF4-FFF2-40B4-BE49-F238E27FC236}">
              <a16:creationId xmlns:a16="http://schemas.microsoft.com/office/drawing/2014/main" id="{353678D1-0A4B-4632-9271-B66C07BB3D1C}"/>
            </a:ext>
          </a:extLst>
        </xdr:cNvPr>
        <xdr:cNvSpPr/>
      </xdr:nvSpPr>
      <xdr:spPr>
        <a:xfrm>
          <a:off x="9224210" y="3266905"/>
          <a:ext cx="777038" cy="288256"/>
        </a:xfrm>
        <a:prstGeom prst="flowChartTerminator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Process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158750</xdr:colOff>
      <xdr:row>23</xdr:row>
      <xdr:rowOff>8353</xdr:rowOff>
    </xdr:from>
    <xdr:to>
      <xdr:col>15</xdr:col>
      <xdr:colOff>288255</xdr:colOff>
      <xdr:row>24</xdr:row>
      <xdr:rowOff>133682</xdr:rowOff>
    </xdr:to>
    <xdr:sp macro="[0]!ShowSimulationForm" textlink="">
      <xdr:nvSpPr>
        <xdr:cNvPr id="13" name="Flowchart: Terminator 12">
          <a:extLst>
            <a:ext uri="{FF2B5EF4-FFF2-40B4-BE49-F238E27FC236}">
              <a16:creationId xmlns:a16="http://schemas.microsoft.com/office/drawing/2014/main" id="{40E9B927-0612-478D-9B9C-21A99BD6903E}"/>
            </a:ext>
          </a:extLst>
        </xdr:cNvPr>
        <xdr:cNvSpPr/>
      </xdr:nvSpPr>
      <xdr:spPr>
        <a:xfrm>
          <a:off x="9224211" y="3755689"/>
          <a:ext cx="777038" cy="288256"/>
        </a:xfrm>
        <a:prstGeom prst="flowChartTerminator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 Start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9</xdr:col>
      <xdr:colOff>367631</xdr:colOff>
      <xdr:row>17</xdr:row>
      <xdr:rowOff>8356</xdr:rowOff>
    </xdr:from>
    <xdr:to>
      <xdr:col>10</xdr:col>
      <xdr:colOff>154572</xdr:colOff>
      <xdr:row>19</xdr:row>
      <xdr:rowOff>116975</xdr:rowOff>
    </xdr:to>
    <xdr:pic>
      <xdr:nvPicPr>
        <xdr:cNvPr id="21" name="Graphic 20" descr="Presentation with bar chart with solid fill">
          <a:extLst>
            <a:ext uri="{FF2B5EF4-FFF2-40B4-BE49-F238E27FC236}">
              <a16:creationId xmlns:a16="http://schemas.microsoft.com/office/drawing/2014/main" id="{3D2B2DA3-067D-85E3-3B1C-A1087277B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195427" y="2778126"/>
          <a:ext cx="434474" cy="434474"/>
        </a:xfrm>
        <a:prstGeom prst="rect">
          <a:avLst/>
        </a:prstGeom>
      </xdr:spPr>
    </xdr:pic>
    <xdr:clientData/>
  </xdr:twoCellAnchor>
  <xdr:twoCellAnchor editAs="oneCell">
    <xdr:from>
      <xdr:col>13</xdr:col>
      <xdr:colOff>171284</xdr:colOff>
      <xdr:row>16</xdr:row>
      <xdr:rowOff>133687</xdr:rowOff>
    </xdr:from>
    <xdr:to>
      <xdr:col>13</xdr:col>
      <xdr:colOff>618290</xdr:colOff>
      <xdr:row>19</xdr:row>
      <xdr:rowOff>91910</xdr:rowOff>
    </xdr:to>
    <xdr:pic>
      <xdr:nvPicPr>
        <xdr:cNvPr id="23" name="Graphic 22" descr="Arrow Right with solid fill">
          <a:extLst>
            <a:ext uri="{FF2B5EF4-FFF2-40B4-BE49-F238E27FC236}">
              <a16:creationId xmlns:a16="http://schemas.microsoft.com/office/drawing/2014/main" id="{2FABE685-DE8D-4638-DDD7-A7C17E388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8589212" y="2740529"/>
          <a:ext cx="447006" cy="447006"/>
        </a:xfrm>
        <a:prstGeom prst="rect">
          <a:avLst/>
        </a:prstGeom>
      </xdr:spPr>
    </xdr:pic>
    <xdr:clientData/>
  </xdr:twoCellAnchor>
  <xdr:twoCellAnchor editAs="oneCell">
    <xdr:from>
      <xdr:col>13</xdr:col>
      <xdr:colOff>275723</xdr:colOff>
      <xdr:row>19</xdr:row>
      <xdr:rowOff>104440</xdr:rowOff>
    </xdr:from>
    <xdr:to>
      <xdr:col>14</xdr:col>
      <xdr:colOff>75196</xdr:colOff>
      <xdr:row>22</xdr:row>
      <xdr:rowOff>62663</xdr:rowOff>
    </xdr:to>
    <xdr:pic>
      <xdr:nvPicPr>
        <xdr:cNvPr id="24" name="Graphic 23" descr="Arrow Right with solid fill">
          <a:extLst>
            <a:ext uri="{FF2B5EF4-FFF2-40B4-BE49-F238E27FC236}">
              <a16:creationId xmlns:a16="http://schemas.microsoft.com/office/drawing/2014/main" id="{C7765853-6C35-46B2-A0E2-BD8FAE670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8693651" y="3200065"/>
          <a:ext cx="447006" cy="447006"/>
        </a:xfrm>
        <a:prstGeom prst="rect">
          <a:avLst/>
        </a:prstGeom>
      </xdr:spPr>
    </xdr:pic>
    <xdr:clientData/>
  </xdr:twoCellAnchor>
  <xdr:twoCellAnchor editAs="oneCell">
    <xdr:from>
      <xdr:col>13</xdr:col>
      <xdr:colOff>233946</xdr:colOff>
      <xdr:row>22</xdr:row>
      <xdr:rowOff>83551</xdr:rowOff>
    </xdr:from>
    <xdr:to>
      <xdr:col>14</xdr:col>
      <xdr:colOff>33419</xdr:colOff>
      <xdr:row>25</xdr:row>
      <xdr:rowOff>41774</xdr:rowOff>
    </xdr:to>
    <xdr:pic>
      <xdr:nvPicPr>
        <xdr:cNvPr id="25" name="Graphic 24" descr="Arrow Right with solid fill">
          <a:extLst>
            <a:ext uri="{FF2B5EF4-FFF2-40B4-BE49-F238E27FC236}">
              <a16:creationId xmlns:a16="http://schemas.microsoft.com/office/drawing/2014/main" id="{9C2CBEE7-1FCF-42A9-99CF-350984E13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8651874" y="3667959"/>
          <a:ext cx="447006" cy="447006"/>
        </a:xfrm>
        <a:prstGeom prst="rect">
          <a:avLst/>
        </a:prstGeom>
      </xdr:spPr>
    </xdr:pic>
    <xdr:clientData/>
  </xdr:twoCellAnchor>
  <xdr:twoCellAnchor editAs="oneCell">
    <xdr:from>
      <xdr:col>9</xdr:col>
      <xdr:colOff>380166</xdr:colOff>
      <xdr:row>19</xdr:row>
      <xdr:rowOff>150396</xdr:rowOff>
    </xdr:from>
    <xdr:to>
      <xdr:col>10</xdr:col>
      <xdr:colOff>137863</xdr:colOff>
      <xdr:row>22</xdr:row>
      <xdr:rowOff>66843</xdr:rowOff>
    </xdr:to>
    <xdr:pic>
      <xdr:nvPicPr>
        <xdr:cNvPr id="27" name="Graphic 26" descr="Gears with solid fill">
          <a:extLst>
            <a:ext uri="{FF2B5EF4-FFF2-40B4-BE49-F238E27FC236}">
              <a16:creationId xmlns:a16="http://schemas.microsoft.com/office/drawing/2014/main" id="{E900A06C-04D6-7778-BDE6-100CBF7C3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6207962" y="3246021"/>
          <a:ext cx="405230" cy="405230"/>
        </a:xfrm>
        <a:prstGeom prst="rect">
          <a:avLst/>
        </a:prstGeom>
      </xdr:spPr>
    </xdr:pic>
    <xdr:clientData/>
  </xdr:twoCellAnchor>
  <xdr:twoCellAnchor editAs="oneCell">
    <xdr:from>
      <xdr:col>9</xdr:col>
      <xdr:colOff>451185</xdr:colOff>
      <xdr:row>22</xdr:row>
      <xdr:rowOff>146218</xdr:rowOff>
    </xdr:from>
    <xdr:to>
      <xdr:col>10</xdr:col>
      <xdr:colOff>125329</xdr:colOff>
      <xdr:row>24</xdr:row>
      <xdr:rowOff>142040</xdr:rowOff>
    </xdr:to>
    <xdr:pic>
      <xdr:nvPicPr>
        <xdr:cNvPr id="29" name="Graphic 28" descr="Play with solid fill">
          <a:extLst>
            <a:ext uri="{FF2B5EF4-FFF2-40B4-BE49-F238E27FC236}">
              <a16:creationId xmlns:a16="http://schemas.microsoft.com/office/drawing/2014/main" id="{0B3726BF-1682-DB21-DFA9-C085236E5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278981" y="3730626"/>
          <a:ext cx="321677" cy="321677"/>
        </a:xfrm>
        <a:prstGeom prst="rect">
          <a:avLst/>
        </a:prstGeom>
      </xdr:spPr>
    </xdr:pic>
    <xdr:clientData/>
  </xdr:twoCellAnchor>
  <xdr:twoCellAnchor>
    <xdr:from>
      <xdr:col>14</xdr:col>
      <xdr:colOff>150392</xdr:colOff>
      <xdr:row>17</xdr:row>
      <xdr:rowOff>37601</xdr:rowOff>
    </xdr:from>
    <xdr:to>
      <xdr:col>15</xdr:col>
      <xdr:colOff>279897</xdr:colOff>
      <xdr:row>19</xdr:row>
      <xdr:rowOff>2</xdr:rowOff>
    </xdr:to>
    <xdr:sp macro="[0]!ShowPlansForm" textlink="">
      <xdr:nvSpPr>
        <xdr:cNvPr id="10" name="Flowchart: Terminator 9">
          <a:extLst>
            <a:ext uri="{FF2B5EF4-FFF2-40B4-BE49-F238E27FC236}">
              <a16:creationId xmlns:a16="http://schemas.microsoft.com/office/drawing/2014/main" id="{8235C93F-C9FF-460D-BF1B-29774FE38913}"/>
            </a:ext>
          </a:extLst>
        </xdr:cNvPr>
        <xdr:cNvSpPr/>
      </xdr:nvSpPr>
      <xdr:spPr>
        <a:xfrm>
          <a:off x="9215853" y="2807371"/>
          <a:ext cx="777038" cy="288256"/>
        </a:xfrm>
        <a:prstGeom prst="flowChartTerminator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Plans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61913</xdr:colOff>
      <xdr:row>0</xdr:row>
      <xdr:rowOff>90488</xdr:rowOff>
    </xdr:from>
    <xdr:to>
      <xdr:col>17</xdr:col>
      <xdr:colOff>161925</xdr:colOff>
      <xdr:row>3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405E88E-D64A-8BDE-F797-2367470CB14E}"/>
            </a:ext>
          </a:extLst>
        </xdr:cNvPr>
        <xdr:cNvSpPr txBox="1"/>
      </xdr:nvSpPr>
      <xdr:spPr>
        <a:xfrm>
          <a:off x="5891213" y="90488"/>
          <a:ext cx="7148512" cy="41433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/>
            <a:t>Simulation Results Summary</a:t>
          </a:r>
        </a:p>
      </xdr:txBody>
    </xdr:sp>
    <xdr:clientData/>
  </xdr:twoCellAnchor>
  <xdr:twoCellAnchor>
    <xdr:from>
      <xdr:col>13</xdr:col>
      <xdr:colOff>488156</xdr:colOff>
      <xdr:row>11</xdr:row>
      <xdr:rowOff>61912</xdr:rowOff>
    </xdr:from>
    <xdr:to>
      <xdr:col>20</xdr:col>
      <xdr:colOff>241925</xdr:colOff>
      <xdr:row>28</xdr:row>
      <xdr:rowOff>52387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0BA89D-A6EF-E265-5529-61F03D70EC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283723</xdr:colOff>
      <xdr:row>34</xdr:row>
      <xdr:rowOff>70931</xdr:rowOff>
    </xdr:from>
    <xdr:to>
      <xdr:col>12</xdr:col>
      <xdr:colOff>780239</xdr:colOff>
      <xdr:row>36</xdr:row>
      <xdr:rowOff>141861</xdr:rowOff>
    </xdr:to>
    <xdr:sp macro="[0]!ShowSimulation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C56111B-2D39-C5FF-5844-C2C6E88A70CD}"/>
            </a:ext>
          </a:extLst>
        </xdr:cNvPr>
        <xdr:cNvSpPr/>
      </xdr:nvSpPr>
      <xdr:spPr>
        <a:xfrm>
          <a:off x="8526902" y="5588338"/>
          <a:ext cx="1930332" cy="395186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Run</a:t>
          </a:r>
          <a:r>
            <a:rPr lang="en-US" sz="1400" b="1" baseline="0">
              <a:solidFill>
                <a:schemeClr val="tx1"/>
              </a:solidFill>
            </a:rPr>
            <a:t> Simulation Again</a:t>
          </a:r>
          <a:endParaRPr lang="en-US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20264</xdr:colOff>
      <xdr:row>34</xdr:row>
      <xdr:rowOff>70930</xdr:rowOff>
    </xdr:from>
    <xdr:to>
      <xdr:col>15</xdr:col>
      <xdr:colOff>202658</xdr:colOff>
      <xdr:row>36</xdr:row>
      <xdr:rowOff>141860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BFED262-EC2A-4B6B-9184-5453CB691198}"/>
            </a:ext>
          </a:extLst>
        </xdr:cNvPr>
        <xdr:cNvSpPr/>
      </xdr:nvSpPr>
      <xdr:spPr>
        <a:xfrm>
          <a:off x="11359067" y="5588337"/>
          <a:ext cx="1758073" cy="395186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146050</xdr:colOff>
      <xdr:row>0</xdr:row>
      <xdr:rowOff>127000</xdr:rowOff>
    </xdr:from>
    <xdr:to>
      <xdr:col>16</xdr:col>
      <xdr:colOff>450850</xdr:colOff>
      <xdr:row>28</xdr:row>
      <xdr:rowOff>127000</xdr:rowOff>
    </xdr:to>
    <xdr:graphicFrame macro="">
      <xdr:nvGraphicFramePr>
        <xdr:cNvPr id="19" name="HistChart">
          <a:extLst>
            <a:ext uri="{FF2B5EF4-FFF2-40B4-BE49-F238E27FC236}">
              <a16:creationId xmlns:a16="http://schemas.microsoft.com/office/drawing/2014/main" id="{CC349D70-C9E0-C5B1-CF6C-BC81821D68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</xdr:colOff>
      <xdr:row>0</xdr:row>
      <xdr:rowOff>127000</xdr:rowOff>
    </xdr:from>
    <xdr:to>
      <xdr:col>16</xdr:col>
      <xdr:colOff>311150</xdr:colOff>
      <xdr:row>28</xdr:row>
      <xdr:rowOff>127000</xdr:rowOff>
    </xdr:to>
    <xdr:graphicFrame macro="">
      <xdr:nvGraphicFramePr>
        <xdr:cNvPr id="6" name="HistChart">
          <a:extLst>
            <a:ext uri="{FF2B5EF4-FFF2-40B4-BE49-F238E27FC236}">
              <a16:creationId xmlns:a16="http://schemas.microsoft.com/office/drawing/2014/main" id="{454370F0-92E9-785A-288A-18D23DCB20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</xdr:colOff>
      <xdr:row>0</xdr:row>
      <xdr:rowOff>127000</xdr:rowOff>
    </xdr:from>
    <xdr:to>
      <xdr:col>16</xdr:col>
      <xdr:colOff>311150</xdr:colOff>
      <xdr:row>28</xdr:row>
      <xdr:rowOff>127000</xdr:rowOff>
    </xdr:to>
    <xdr:graphicFrame macro="">
      <xdr:nvGraphicFramePr>
        <xdr:cNvPr id="16" name="HistChart">
          <a:extLst>
            <a:ext uri="{FF2B5EF4-FFF2-40B4-BE49-F238E27FC236}">
              <a16:creationId xmlns:a16="http://schemas.microsoft.com/office/drawing/2014/main" id="{DEF069DE-BBB7-F4C1-3192-7C5B3C239E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0</xdr:row>
      <xdr:rowOff>127000</xdr:rowOff>
    </xdr:from>
    <xdr:to>
      <xdr:col>16</xdr:col>
      <xdr:colOff>381000</xdr:colOff>
      <xdr:row>28</xdr:row>
      <xdr:rowOff>127000</xdr:rowOff>
    </xdr:to>
    <xdr:graphicFrame macro="">
      <xdr:nvGraphicFramePr>
        <xdr:cNvPr id="16" name="HistChart">
          <a:extLst>
            <a:ext uri="{FF2B5EF4-FFF2-40B4-BE49-F238E27FC236}">
              <a16:creationId xmlns:a16="http://schemas.microsoft.com/office/drawing/2014/main" id="{7FD86CDE-C11C-B495-C658-13701F4688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0</xdr:row>
      <xdr:rowOff>127000</xdr:rowOff>
    </xdr:from>
    <xdr:to>
      <xdr:col>16</xdr:col>
      <xdr:colOff>381000</xdr:colOff>
      <xdr:row>28</xdr:row>
      <xdr:rowOff>127000</xdr:rowOff>
    </xdr:to>
    <xdr:graphicFrame macro="">
      <xdr:nvGraphicFramePr>
        <xdr:cNvPr id="16" name="HistChart">
          <a:extLst>
            <a:ext uri="{FF2B5EF4-FFF2-40B4-BE49-F238E27FC236}">
              <a16:creationId xmlns:a16="http://schemas.microsoft.com/office/drawing/2014/main" id="{9B24D187-7AA9-856C-A1AB-8BBDEE77BC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0</xdr:row>
      <xdr:rowOff>127000</xdr:rowOff>
    </xdr:from>
    <xdr:to>
      <xdr:col>16</xdr:col>
      <xdr:colOff>381000</xdr:colOff>
      <xdr:row>28</xdr:row>
      <xdr:rowOff>127000</xdr:rowOff>
    </xdr:to>
    <xdr:graphicFrame macro="">
      <xdr:nvGraphicFramePr>
        <xdr:cNvPr id="16" name="HistChart">
          <a:extLst>
            <a:ext uri="{FF2B5EF4-FFF2-40B4-BE49-F238E27FC236}">
              <a16:creationId xmlns:a16="http://schemas.microsoft.com/office/drawing/2014/main" id="{219F92A0-80F7-3621-8167-E7AF94F016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158750</xdr:colOff>
      <xdr:row>0</xdr:row>
      <xdr:rowOff>127000</xdr:rowOff>
    </xdr:from>
    <xdr:to>
      <xdr:col>16</xdr:col>
      <xdr:colOff>463550</xdr:colOff>
      <xdr:row>28</xdr:row>
      <xdr:rowOff>127000</xdr:rowOff>
    </xdr:to>
    <xdr:graphicFrame macro="">
      <xdr:nvGraphicFramePr>
        <xdr:cNvPr id="16" name="HistChart">
          <a:extLst>
            <a:ext uri="{FF2B5EF4-FFF2-40B4-BE49-F238E27FC236}">
              <a16:creationId xmlns:a16="http://schemas.microsoft.com/office/drawing/2014/main" id="{821F1019-6270-817C-A558-1AFCF54A5C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</xdr:colOff>
      <xdr:row>0</xdr:row>
      <xdr:rowOff>127000</xdr:rowOff>
    </xdr:from>
    <xdr:to>
      <xdr:col>16</xdr:col>
      <xdr:colOff>311150</xdr:colOff>
      <xdr:row>28</xdr:row>
      <xdr:rowOff>127000</xdr:rowOff>
    </xdr:to>
    <xdr:graphicFrame macro="">
      <xdr:nvGraphicFramePr>
        <xdr:cNvPr id="16" name="HistChart">
          <a:extLst>
            <a:ext uri="{FF2B5EF4-FFF2-40B4-BE49-F238E27FC236}">
              <a16:creationId xmlns:a16="http://schemas.microsoft.com/office/drawing/2014/main" id="{71F80977-5300-3C23-8E00-E70968B83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0</xdr:row>
      <xdr:rowOff>127000</xdr:rowOff>
    </xdr:from>
    <xdr:to>
      <xdr:col>16</xdr:col>
      <xdr:colOff>381000</xdr:colOff>
      <xdr:row>28</xdr:row>
      <xdr:rowOff>127000</xdr:rowOff>
    </xdr:to>
    <xdr:graphicFrame macro="">
      <xdr:nvGraphicFramePr>
        <xdr:cNvPr id="16" name="HistChart">
          <a:extLst>
            <a:ext uri="{FF2B5EF4-FFF2-40B4-BE49-F238E27FC236}">
              <a16:creationId xmlns:a16="http://schemas.microsoft.com/office/drawing/2014/main" id="{B4E940A3-4DBF-9DD2-B155-9F4877A4AE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ganic">
  <a:themeElements>
    <a:clrScheme name="Organic">
      <a:dk1>
        <a:sysClr val="windowText" lastClr="000000"/>
      </a:dk1>
      <a:lt1>
        <a:sysClr val="window" lastClr="FFFFFF"/>
      </a:lt1>
      <a:dk2>
        <a:srgbClr val="212121"/>
      </a:dk2>
      <a:lt2>
        <a:srgbClr val="DADADA"/>
      </a:lt2>
      <a:accent1>
        <a:srgbClr val="83992A"/>
      </a:accent1>
      <a:accent2>
        <a:srgbClr val="3C9770"/>
      </a:accent2>
      <a:accent3>
        <a:srgbClr val="44709D"/>
      </a:accent3>
      <a:accent4>
        <a:srgbClr val="A23C33"/>
      </a:accent4>
      <a:accent5>
        <a:srgbClr val="D97828"/>
      </a:accent5>
      <a:accent6>
        <a:srgbClr val="DEB340"/>
      </a:accent6>
      <a:hlink>
        <a:srgbClr val="A8BF4D"/>
      </a:hlink>
      <a:folHlink>
        <a:srgbClr val="B4CA80"/>
      </a:folHlink>
    </a:clrScheme>
    <a:fontScheme name="Organic">
      <a:majorFont>
        <a:latin typeface="Garamond" panose="02020404030301010803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Garamond" panose="02020404030301010803"/>
        <a:ea typeface=""/>
        <a:cs typeface=""/>
        <a:font script="Jpan" typeface="ＭＳ Ｐ明朝"/>
        <a:font script="Hang" typeface="바탕"/>
        <a:font script="Hans" typeface="方正舒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Organic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10000"/>
              </a:schemeClr>
            </a:gs>
            <a:gs pos="100000">
              <a:schemeClr val="phClr">
                <a:tint val="82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74000"/>
                <a:satMod val="130000"/>
                <a:lumMod val="90000"/>
              </a:schemeClr>
              <a:schemeClr val="phClr">
                <a:tint val="94000"/>
                <a:satMod val="120000"/>
                <a:lumMod val="104000"/>
              </a:schemeClr>
            </a:duotone>
          </a:blip>
          <a:tile tx="0" ty="0" sx="100000" sy="100000" flip="none" algn="tl"/>
        </a:blip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38100" dist="25400" dir="5400000" rotWithShape="0">
              <a:srgbClr val="000000">
                <a:alpha val="60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88000"/>
                <a:lumMod val="98000"/>
              </a:schemeClr>
            </a:gs>
          </a:gsLst>
          <a:lin ang="5400000" scaled="0"/>
        </a:gradFill>
        <a:blipFill>
          <a:blip xmlns:r="http://schemas.openxmlformats.org/officeDocument/2006/relationships" r:embed="rId2"/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rganic" id="{28CDC826-8792-45C0-861B-85EB3ADEDA33}" vid="{7DAC20F1-423D-49E2-BD0B-50532748BAD0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181DB-2BA5-425C-9205-2FA51CF1C7EE}">
  <sheetPr codeName="Sheet12"/>
  <dimension ref="A4"/>
  <sheetViews>
    <sheetView showGridLines="0" showRowColHeaders="0" tabSelected="1" topLeftCell="B1" zoomScale="114" zoomScaleNormal="114" workbookViewId="0">
      <selection activeCell="C1" sqref="C1"/>
    </sheetView>
  </sheetViews>
  <sheetFormatPr defaultColWidth="9.08984375" defaultRowHeight="12.5" x14ac:dyDescent="0.25"/>
  <cols>
    <col min="1" max="16384" width="9.08984375" style="16"/>
  </cols>
  <sheetData>
    <row r="4" s="16" customFormat="1" x14ac:dyDescent="0.25"/>
  </sheetData>
  <pageMargins left="0.7" right="0.7" top="0.75" bottom="0.75" header="0.3" footer="0.3"/>
  <pageSetup paperSize="9" scale="4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4"/>
  <sheetViews>
    <sheetView topLeftCell="A20" workbookViewId="0">
      <selection activeCell="B58" sqref="B58"/>
    </sheetView>
  </sheetViews>
  <sheetFormatPr defaultRowHeight="12.5" x14ac:dyDescent="0.25"/>
  <cols>
    <col min="1" max="1" width="42.36328125" customWidth="1"/>
    <col min="2" max="2" width="13.08984375" customWidth="1"/>
    <col min="3" max="3" width="10.08984375" customWidth="1"/>
    <col min="4" max="4" width="10.26953125" customWidth="1"/>
    <col min="5" max="5" width="11.26953125" customWidth="1"/>
    <col min="6" max="6" width="10.81640625" customWidth="1"/>
    <col min="7" max="7" width="11.81640625" customWidth="1"/>
    <col min="8" max="8" width="11.81640625" bestFit="1" customWidth="1"/>
    <col min="9" max="9" width="12.26953125" bestFit="1" customWidth="1"/>
    <col min="10" max="10" width="10.81640625" customWidth="1"/>
  </cols>
  <sheetData>
    <row r="1" spans="1:4" ht="13" x14ac:dyDescent="0.3">
      <c r="A1" s="1" t="s">
        <v>0</v>
      </c>
    </row>
    <row r="2" spans="1:4" ht="13" x14ac:dyDescent="0.3">
      <c r="B2" s="1" t="s">
        <v>1</v>
      </c>
    </row>
    <row r="3" spans="1:4" ht="13" x14ac:dyDescent="0.3">
      <c r="B3" s="2" t="s">
        <v>2</v>
      </c>
      <c r="C3" s="2" t="s">
        <v>3</v>
      </c>
      <c r="D3" s="2" t="s">
        <v>4</v>
      </c>
    </row>
    <row r="4" spans="1:4" ht="13" x14ac:dyDescent="0.3">
      <c r="B4" s="13">
        <v>1</v>
      </c>
      <c r="C4" s="3">
        <v>500</v>
      </c>
      <c r="D4" s="3">
        <v>500</v>
      </c>
    </row>
    <row r="5" spans="1:4" ht="13" x14ac:dyDescent="0.3">
      <c r="B5" s="13">
        <v>2</v>
      </c>
      <c r="C5" s="3">
        <v>500</v>
      </c>
      <c r="D5" s="3">
        <v>700</v>
      </c>
    </row>
    <row r="6" spans="1:4" ht="13" x14ac:dyDescent="0.3">
      <c r="B6" s="13">
        <v>3</v>
      </c>
      <c r="C6" s="3">
        <v>500</v>
      </c>
      <c r="D6" s="3">
        <v>900</v>
      </c>
    </row>
    <row r="7" spans="1:4" ht="13" x14ac:dyDescent="0.3">
      <c r="B7" s="13">
        <v>4</v>
      </c>
      <c r="C7" s="3">
        <v>700</v>
      </c>
      <c r="D7" s="3">
        <v>500</v>
      </c>
    </row>
    <row r="8" spans="1:4" ht="13" x14ac:dyDescent="0.3">
      <c r="B8" s="13">
        <v>5</v>
      </c>
      <c r="C8" s="3">
        <v>700</v>
      </c>
      <c r="D8" s="3">
        <v>700</v>
      </c>
    </row>
    <row r="9" spans="1:4" ht="13" x14ac:dyDescent="0.3">
      <c r="B9" s="13">
        <v>6</v>
      </c>
      <c r="C9" s="3">
        <v>700</v>
      </c>
      <c r="D9" s="3">
        <v>900</v>
      </c>
    </row>
    <row r="10" spans="1:4" ht="13" x14ac:dyDescent="0.3">
      <c r="B10" s="13">
        <v>7</v>
      </c>
      <c r="C10" s="3">
        <v>900</v>
      </c>
      <c r="D10" s="3">
        <v>500</v>
      </c>
    </row>
    <row r="11" spans="1:4" ht="13" x14ac:dyDescent="0.3">
      <c r="B11" s="13">
        <v>8</v>
      </c>
      <c r="C11" s="3">
        <v>900</v>
      </c>
      <c r="D11" s="3">
        <v>700</v>
      </c>
    </row>
    <row r="12" spans="1:4" ht="13" x14ac:dyDescent="0.3">
      <c r="B12" s="13">
        <v>9</v>
      </c>
      <c r="C12" s="3">
        <v>900</v>
      </c>
      <c r="D12" s="3">
        <v>900</v>
      </c>
    </row>
    <row r="14" spans="1:4" ht="13" x14ac:dyDescent="0.3">
      <c r="B14" s="1" t="s">
        <v>5</v>
      </c>
    </row>
    <row r="15" spans="1:4" ht="13" x14ac:dyDescent="0.3">
      <c r="B15" s="2" t="s">
        <v>6</v>
      </c>
      <c r="C15" s="4" t="s">
        <v>7</v>
      </c>
    </row>
    <row r="16" spans="1:4" x14ac:dyDescent="0.25">
      <c r="A16" s="5" t="s">
        <v>8</v>
      </c>
      <c r="B16" s="6">
        <v>3.5</v>
      </c>
      <c r="C16" s="6">
        <v>3.7</v>
      </c>
    </row>
    <row r="17" spans="1:7" x14ac:dyDescent="0.25">
      <c r="A17" s="5" t="s">
        <v>9</v>
      </c>
      <c r="B17" s="6">
        <v>3.8</v>
      </c>
      <c r="C17" s="6">
        <v>3.85</v>
      </c>
    </row>
    <row r="18" spans="1:7" x14ac:dyDescent="0.25">
      <c r="A18" s="5" t="s">
        <v>10</v>
      </c>
      <c r="B18" s="6">
        <v>4.2</v>
      </c>
      <c r="C18" s="6">
        <v>4</v>
      </c>
    </row>
    <row r="20" spans="1:7" x14ac:dyDescent="0.25">
      <c r="A20" s="12" t="s">
        <v>11</v>
      </c>
      <c r="B20" s="6">
        <v>15</v>
      </c>
    </row>
    <row r="22" spans="1:7" ht="13" x14ac:dyDescent="0.3">
      <c r="A22" s="5" t="s">
        <v>12</v>
      </c>
      <c r="B22" s="7">
        <v>9</v>
      </c>
      <c r="C22" s="1" t="s">
        <v>13</v>
      </c>
    </row>
    <row r="23" spans="1:7" x14ac:dyDescent="0.25">
      <c r="A23" s="12" t="s">
        <v>14</v>
      </c>
      <c r="B23">
        <f>VLOOKUP($B$22,$B$4:$D$12,2)</f>
        <v>900</v>
      </c>
    </row>
    <row r="24" spans="1:7" x14ac:dyDescent="0.25">
      <c r="A24" s="12" t="s">
        <v>15</v>
      </c>
      <c r="B24">
        <f>VLOOKUP($B$22,$B$4:$D$12,3)</f>
        <v>900</v>
      </c>
    </row>
    <row r="26" spans="1:7" ht="13" x14ac:dyDescent="0.3">
      <c r="A26" s="2" t="s">
        <v>16</v>
      </c>
      <c r="B26" s="2" t="s">
        <v>17</v>
      </c>
      <c r="C26" s="2" t="s">
        <v>18</v>
      </c>
      <c r="D26" s="2" t="s">
        <v>19</v>
      </c>
      <c r="E26" s="2" t="s">
        <v>20</v>
      </c>
      <c r="F26" s="2" t="s">
        <v>21</v>
      </c>
      <c r="G26" s="2" t="s">
        <v>22</v>
      </c>
    </row>
    <row r="27" spans="1:7" x14ac:dyDescent="0.25">
      <c r="A27" s="12" t="s">
        <v>23</v>
      </c>
      <c r="B27">
        <f t="shared" ref="B27:G27" si="0">SUM(B35:B37)</f>
        <v>900</v>
      </c>
      <c r="C27">
        <f t="shared" si="0"/>
        <v>900</v>
      </c>
      <c r="D27">
        <f t="shared" si="0"/>
        <v>728</v>
      </c>
      <c r="E27">
        <f t="shared" si="0"/>
        <v>900</v>
      </c>
      <c r="F27">
        <f t="shared" si="0"/>
        <v>715</v>
      </c>
      <c r="G27">
        <f t="shared" si="0"/>
        <v>900</v>
      </c>
    </row>
    <row r="28" spans="1:7" x14ac:dyDescent="0.25">
      <c r="A28" s="5"/>
      <c r="B28" s="5" t="s">
        <v>24</v>
      </c>
      <c r="C28" s="5" t="s">
        <v>24</v>
      </c>
      <c r="D28" s="5" t="s">
        <v>24</v>
      </c>
      <c r="E28" s="5" t="s">
        <v>24</v>
      </c>
      <c r="F28" s="5" t="s">
        <v>24</v>
      </c>
      <c r="G28" s="5" t="s">
        <v>24</v>
      </c>
    </row>
    <row r="29" spans="1:7" x14ac:dyDescent="0.25">
      <c r="A29" s="12" t="s">
        <v>25</v>
      </c>
      <c r="B29">
        <f t="shared" ref="B29:G29" si="1">$B$23</f>
        <v>900</v>
      </c>
      <c r="C29">
        <f t="shared" si="1"/>
        <v>900</v>
      </c>
      <c r="D29">
        <f t="shared" si="1"/>
        <v>900</v>
      </c>
      <c r="E29">
        <f t="shared" si="1"/>
        <v>900</v>
      </c>
      <c r="F29">
        <f t="shared" si="1"/>
        <v>900</v>
      </c>
      <c r="G29">
        <f t="shared" si="1"/>
        <v>900</v>
      </c>
    </row>
    <row r="31" spans="1:7" x14ac:dyDescent="0.25">
      <c r="A31" s="12" t="s">
        <v>26</v>
      </c>
      <c r="B31">
        <f>SUM(B38:B40)</f>
        <v>900</v>
      </c>
      <c r="C31">
        <f t="shared" ref="C31:G31" si="2">SUM(C38:C40)</f>
        <v>900</v>
      </c>
      <c r="D31">
        <f t="shared" si="2"/>
        <v>900</v>
      </c>
      <c r="E31">
        <f t="shared" si="2"/>
        <v>900</v>
      </c>
      <c r="F31">
        <f t="shared" si="2"/>
        <v>900</v>
      </c>
      <c r="G31">
        <f t="shared" si="2"/>
        <v>900</v>
      </c>
    </row>
    <row r="32" spans="1:7" x14ac:dyDescent="0.25">
      <c r="A32" s="5"/>
      <c r="B32" s="5" t="s">
        <v>24</v>
      </c>
      <c r="C32" s="5" t="s">
        <v>24</v>
      </c>
      <c r="D32" s="5" t="s">
        <v>24</v>
      </c>
      <c r="E32" s="5" t="s">
        <v>24</v>
      </c>
      <c r="F32" s="5" t="s">
        <v>24</v>
      </c>
      <c r="G32" s="5" t="s">
        <v>24</v>
      </c>
    </row>
    <row r="33" spans="1:7" x14ac:dyDescent="0.25">
      <c r="A33" s="12" t="s">
        <v>27</v>
      </c>
      <c r="B33">
        <f t="shared" ref="B33:G33" si="3">$B$24</f>
        <v>900</v>
      </c>
      <c r="C33">
        <f t="shared" si="3"/>
        <v>900</v>
      </c>
      <c r="D33">
        <f t="shared" si="3"/>
        <v>900</v>
      </c>
      <c r="E33">
        <f t="shared" si="3"/>
        <v>900</v>
      </c>
      <c r="F33">
        <f t="shared" si="3"/>
        <v>900</v>
      </c>
      <c r="G33">
        <f t="shared" si="3"/>
        <v>900</v>
      </c>
    </row>
    <row r="35" spans="1:7" x14ac:dyDescent="0.25">
      <c r="A35" s="12" t="s">
        <v>28</v>
      </c>
      <c r="B35" s="8">
        <v>0</v>
      </c>
      <c r="C35" s="8">
        <v>0</v>
      </c>
      <c r="D35" s="8">
        <v>143</v>
      </c>
      <c r="E35" s="8">
        <v>0</v>
      </c>
      <c r="F35" s="8">
        <v>0</v>
      </c>
      <c r="G35" s="8">
        <v>0</v>
      </c>
    </row>
    <row r="36" spans="1:7" x14ac:dyDescent="0.25">
      <c r="A36" s="12" t="s">
        <v>29</v>
      </c>
      <c r="B36" s="8">
        <v>106</v>
      </c>
      <c r="C36" s="8">
        <v>0</v>
      </c>
      <c r="D36" s="8">
        <v>286</v>
      </c>
      <c r="E36" s="8">
        <v>0</v>
      </c>
      <c r="F36" s="8">
        <v>523</v>
      </c>
      <c r="G36" s="8">
        <v>0</v>
      </c>
    </row>
    <row r="37" spans="1:7" x14ac:dyDescent="0.25">
      <c r="A37" s="12" t="s">
        <v>30</v>
      </c>
      <c r="B37" s="8">
        <v>794</v>
      </c>
      <c r="C37" s="8">
        <v>900</v>
      </c>
      <c r="D37" s="8">
        <v>299</v>
      </c>
      <c r="E37" s="8">
        <v>900</v>
      </c>
      <c r="F37" s="8">
        <v>192</v>
      </c>
      <c r="G37" s="8">
        <v>900</v>
      </c>
    </row>
    <row r="38" spans="1:7" x14ac:dyDescent="0.25">
      <c r="A38" s="12" t="s">
        <v>31</v>
      </c>
      <c r="B38" s="8">
        <v>454</v>
      </c>
      <c r="C38" s="8">
        <v>0</v>
      </c>
      <c r="D38" s="8">
        <v>900</v>
      </c>
      <c r="E38" s="8">
        <v>355</v>
      </c>
      <c r="F38" s="8">
        <v>482</v>
      </c>
      <c r="G38" s="8">
        <v>78</v>
      </c>
    </row>
    <row r="39" spans="1:7" x14ac:dyDescent="0.25">
      <c r="A39" s="12" t="s">
        <v>32</v>
      </c>
      <c r="B39" s="8">
        <v>446</v>
      </c>
      <c r="C39" s="8">
        <v>551</v>
      </c>
      <c r="D39" s="8">
        <v>0</v>
      </c>
      <c r="E39" s="8">
        <v>118</v>
      </c>
      <c r="F39" s="8">
        <v>418</v>
      </c>
      <c r="G39" s="8">
        <v>734</v>
      </c>
    </row>
    <row r="40" spans="1:7" x14ac:dyDescent="0.25">
      <c r="A40" s="12" t="s">
        <v>33</v>
      </c>
      <c r="B40" s="8">
        <v>0</v>
      </c>
      <c r="C40" s="8">
        <v>349</v>
      </c>
      <c r="D40" s="8">
        <v>0</v>
      </c>
      <c r="E40" s="8">
        <v>427</v>
      </c>
      <c r="F40" s="8">
        <v>0</v>
      </c>
      <c r="G40" s="8">
        <v>88</v>
      </c>
    </row>
    <row r="41" spans="1:7" x14ac:dyDescent="0.25">
      <c r="A41" s="5"/>
    </row>
    <row r="42" spans="1:7" x14ac:dyDescent="0.25">
      <c r="A42" s="5" t="s">
        <v>34</v>
      </c>
      <c r="B42">
        <f>B35+B38</f>
        <v>454</v>
      </c>
      <c r="C42">
        <f t="shared" ref="C42:G42" si="4">C35+C38</f>
        <v>0</v>
      </c>
      <c r="D42">
        <f t="shared" si="4"/>
        <v>1043</v>
      </c>
      <c r="E42">
        <f t="shared" si="4"/>
        <v>355</v>
      </c>
      <c r="F42">
        <f t="shared" si="4"/>
        <v>482</v>
      </c>
      <c r="G42">
        <f t="shared" si="4"/>
        <v>78</v>
      </c>
    </row>
    <row r="43" spans="1:7" x14ac:dyDescent="0.25">
      <c r="A43" s="5"/>
      <c r="B43" s="5" t="s">
        <v>24</v>
      </c>
      <c r="C43" s="5" t="s">
        <v>24</v>
      </c>
      <c r="D43" s="5" t="s">
        <v>24</v>
      </c>
      <c r="E43" s="5" t="s">
        <v>24</v>
      </c>
      <c r="F43" s="5" t="s">
        <v>24</v>
      </c>
      <c r="G43" s="5" t="s">
        <v>24</v>
      </c>
    </row>
    <row r="44" spans="1:7" x14ac:dyDescent="0.25">
      <c r="A44" s="5" t="s">
        <v>35</v>
      </c>
      <c r="B44" s="9">
        <v>1025</v>
      </c>
      <c r="C44" s="9">
        <v>904</v>
      </c>
      <c r="D44" s="9">
        <v>1043</v>
      </c>
      <c r="E44" s="9">
        <v>670</v>
      </c>
      <c r="F44" s="9">
        <v>482</v>
      </c>
      <c r="G44" s="9">
        <v>800</v>
      </c>
    </row>
    <row r="45" spans="1:7" x14ac:dyDescent="0.25">
      <c r="A45" s="5"/>
    </row>
    <row r="46" spans="1:7" x14ac:dyDescent="0.25">
      <c r="A46" s="5" t="s">
        <v>36</v>
      </c>
      <c r="B46">
        <f t="shared" ref="B46:G46" si="5">B36+B39</f>
        <v>552</v>
      </c>
      <c r="C46">
        <f t="shared" si="5"/>
        <v>551</v>
      </c>
      <c r="D46">
        <f t="shared" si="5"/>
        <v>286</v>
      </c>
      <c r="E46">
        <f t="shared" si="5"/>
        <v>118</v>
      </c>
      <c r="F46">
        <f t="shared" si="5"/>
        <v>941</v>
      </c>
      <c r="G46">
        <f t="shared" si="5"/>
        <v>734</v>
      </c>
    </row>
    <row r="47" spans="1:7" x14ac:dyDescent="0.25">
      <c r="A47" s="5"/>
      <c r="B47" s="5" t="s">
        <v>24</v>
      </c>
      <c r="C47" s="5" t="s">
        <v>24</v>
      </c>
      <c r="D47" s="5" t="s">
        <v>24</v>
      </c>
      <c r="E47" s="5" t="s">
        <v>24</v>
      </c>
      <c r="F47" s="5" t="s">
        <v>24</v>
      </c>
      <c r="G47" s="5" t="s">
        <v>24</v>
      </c>
    </row>
    <row r="48" spans="1:7" x14ac:dyDescent="0.25">
      <c r="A48" s="5" t="s">
        <v>37</v>
      </c>
      <c r="B48" s="9">
        <v>552</v>
      </c>
      <c r="C48" s="9">
        <v>705</v>
      </c>
      <c r="D48" s="9">
        <v>286</v>
      </c>
      <c r="E48" s="9">
        <v>118</v>
      </c>
      <c r="F48" s="9">
        <v>941</v>
      </c>
      <c r="G48" s="9">
        <v>734</v>
      </c>
    </row>
    <row r="49" spans="1:10" x14ac:dyDescent="0.25">
      <c r="A49" s="5"/>
    </row>
    <row r="50" spans="1:10" x14ac:dyDescent="0.25">
      <c r="A50" s="5" t="s">
        <v>38</v>
      </c>
      <c r="B50">
        <f t="shared" ref="B50:G50" si="6">B37+B40</f>
        <v>794</v>
      </c>
      <c r="C50">
        <f t="shared" si="6"/>
        <v>1249</v>
      </c>
      <c r="D50">
        <f t="shared" si="6"/>
        <v>299</v>
      </c>
      <c r="E50">
        <f t="shared" si="6"/>
        <v>1327</v>
      </c>
      <c r="F50">
        <f t="shared" si="6"/>
        <v>192</v>
      </c>
      <c r="G50">
        <f t="shared" si="6"/>
        <v>988</v>
      </c>
    </row>
    <row r="51" spans="1:10" x14ac:dyDescent="0.25">
      <c r="A51" s="5"/>
      <c r="B51" s="5" t="s">
        <v>24</v>
      </c>
      <c r="C51" s="5" t="s">
        <v>24</v>
      </c>
      <c r="D51" s="5" t="s">
        <v>24</v>
      </c>
      <c r="E51" s="5" t="s">
        <v>24</v>
      </c>
      <c r="F51" s="5" t="s">
        <v>24</v>
      </c>
      <c r="G51" s="5" t="s">
        <v>24</v>
      </c>
    </row>
    <row r="52" spans="1:10" x14ac:dyDescent="0.25">
      <c r="A52" s="5" t="s">
        <v>39</v>
      </c>
      <c r="B52" s="9">
        <v>794</v>
      </c>
      <c r="C52" s="9">
        <v>1249</v>
      </c>
      <c r="D52" s="9">
        <v>299</v>
      </c>
      <c r="E52" s="9">
        <v>1327</v>
      </c>
      <c r="F52" s="9">
        <v>192</v>
      </c>
      <c r="G52" s="9">
        <v>988</v>
      </c>
    </row>
    <row r="53" spans="1:10" x14ac:dyDescent="0.25">
      <c r="A53" s="5"/>
    </row>
    <row r="54" spans="1:10" x14ac:dyDescent="0.25">
      <c r="A54" s="5"/>
    </row>
    <row r="55" spans="1:10" x14ac:dyDescent="0.25">
      <c r="A55" s="5" t="s">
        <v>40</v>
      </c>
      <c r="B55" s="10">
        <f t="shared" ref="B55:G55" si="7">SUMPRODUCT($B$16:$B$18,B35:B37)+SUMPRODUCT($C$16:$C$18,B38:B40)</f>
        <v>7134.5000000000009</v>
      </c>
      <c r="C55" s="10">
        <f t="shared" si="7"/>
        <v>7297.35</v>
      </c>
      <c r="D55" s="10">
        <f t="shared" si="7"/>
        <v>6173.1</v>
      </c>
      <c r="E55" s="10">
        <f t="shared" si="7"/>
        <v>7255.8</v>
      </c>
      <c r="F55" s="10">
        <f t="shared" si="7"/>
        <v>6186.5</v>
      </c>
      <c r="G55" s="10">
        <f t="shared" si="7"/>
        <v>7246.5</v>
      </c>
    </row>
    <row r="56" spans="1:10" x14ac:dyDescent="0.25">
      <c r="A56" s="5" t="s">
        <v>41</v>
      </c>
      <c r="B56" s="10">
        <f>B20*(B23+B24)</f>
        <v>27000</v>
      </c>
    </row>
    <row r="58" spans="1:10" ht="13" x14ac:dyDescent="0.3">
      <c r="A58" s="2" t="s">
        <v>42</v>
      </c>
      <c r="B58" s="11">
        <f>SUM(B55:G55)-B56</f>
        <v>14293.75</v>
      </c>
    </row>
    <row r="60" spans="1:10" ht="13" x14ac:dyDescent="0.3">
      <c r="A60" s="14" t="s">
        <v>43</v>
      </c>
      <c r="H60" s="1" t="s">
        <v>44</v>
      </c>
    </row>
    <row r="61" spans="1:10" ht="13" x14ac:dyDescent="0.3">
      <c r="B61" s="2" t="s">
        <v>17</v>
      </c>
      <c r="C61" s="2" t="s">
        <v>18</v>
      </c>
      <c r="D61" s="2" t="s">
        <v>19</v>
      </c>
      <c r="E61" s="2" t="s">
        <v>20</v>
      </c>
      <c r="F61" s="2" t="s">
        <v>21</v>
      </c>
      <c r="G61" s="2" t="s">
        <v>22</v>
      </c>
      <c r="H61" s="12" t="s">
        <v>45</v>
      </c>
      <c r="I61" s="12" t="s">
        <v>46</v>
      </c>
      <c r="J61" s="12" t="s">
        <v>47</v>
      </c>
    </row>
    <row r="62" spans="1:10" x14ac:dyDescent="0.25">
      <c r="A62" s="5" t="s">
        <v>48</v>
      </c>
      <c r="B62">
        <v>136</v>
      </c>
      <c r="C62">
        <v>1042</v>
      </c>
      <c r="D62">
        <v>346</v>
      </c>
      <c r="E62">
        <v>770</v>
      </c>
      <c r="F62">
        <v>926</v>
      </c>
      <c r="G62">
        <v>1003</v>
      </c>
      <c r="H62" s="3">
        <v>0</v>
      </c>
      <c r="I62" s="3">
        <v>600</v>
      </c>
      <c r="J62" s="3">
        <v>1600</v>
      </c>
    </row>
    <row r="63" spans="1:10" x14ac:dyDescent="0.25">
      <c r="A63" s="5" t="s">
        <v>49</v>
      </c>
      <c r="B63">
        <v>370</v>
      </c>
      <c r="C63">
        <v>300</v>
      </c>
      <c r="D63">
        <v>865</v>
      </c>
      <c r="E63">
        <v>136</v>
      </c>
      <c r="F63">
        <v>636</v>
      </c>
      <c r="G63">
        <v>401</v>
      </c>
      <c r="H63" s="3">
        <v>0</v>
      </c>
      <c r="I63" s="3">
        <v>500</v>
      </c>
      <c r="J63" s="3">
        <v>1000</v>
      </c>
    </row>
    <row r="64" spans="1:10" x14ac:dyDescent="0.25">
      <c r="A64" s="5" t="s">
        <v>50</v>
      </c>
      <c r="B64">
        <v>390</v>
      </c>
      <c r="C64">
        <v>703</v>
      </c>
      <c r="D64">
        <v>720</v>
      </c>
      <c r="E64">
        <v>686</v>
      </c>
      <c r="F64">
        <v>477</v>
      </c>
      <c r="G64">
        <v>272</v>
      </c>
      <c r="H64" s="3">
        <v>0</v>
      </c>
      <c r="I64" s="3">
        <v>500</v>
      </c>
      <c r="J64" s="3">
        <v>1500</v>
      </c>
    </row>
  </sheetData>
  <pageMargins left="0.75" right="0.75" top="1" bottom="1" header="0.5" footer="0.5"/>
  <headerFooter alignWithMargins="0"/>
  <ignoredErrors>
    <ignoredError sqref="B31:G31 B27:G27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2CD36-807E-4DB0-9AF5-40DAA7BE98EB}">
  <sheetPr codeName="Sheet13"/>
  <dimension ref="I7:T24"/>
  <sheetViews>
    <sheetView topLeftCell="E5" zoomScale="94" workbookViewId="0"/>
  </sheetViews>
  <sheetFormatPr defaultColWidth="9.08984375" defaultRowHeight="12.5" x14ac:dyDescent="0.25"/>
  <cols>
    <col min="1" max="8" width="9.08984375" style="16"/>
    <col min="9" max="9" width="13.81640625" style="16" bestFit="1" customWidth="1"/>
    <col min="10" max="10" width="15.6328125" style="16" bestFit="1" customWidth="1"/>
    <col min="11" max="11" width="18" style="16" bestFit="1" customWidth="1"/>
    <col min="12" max="12" width="20.08984375" style="16" bestFit="1" customWidth="1"/>
    <col min="13" max="13" width="18.54296875" style="16" bestFit="1" customWidth="1"/>
    <col min="14" max="14" width="13" style="16" bestFit="1" customWidth="1"/>
    <col min="15" max="16384" width="9.08984375" style="16"/>
  </cols>
  <sheetData>
    <row r="7" spans="9:20" x14ac:dyDescent="0.25">
      <c r="I7" s="20" t="str">
        <f>"Toronto Capacity: " &amp; INDEX(SimResults!B2:B10, MATCH(MAX(SimResults!D2:D10), SimResults!D2:D10, 0))</f>
        <v>Toronto Capacity: 900</v>
      </c>
      <c r="J7" s="21"/>
      <c r="K7" s="22"/>
      <c r="L7" s="20" t="str">
        <f>"Vancouver Capacity: " &amp; INDEX(SimResults!C2:C10, MATCH(MAX(SimResults!D2:D10), SimResults!D2:D10, 0))</f>
        <v>Vancouver Capacity: 900</v>
      </c>
      <c r="M7" s="21"/>
      <c r="N7" s="22"/>
      <c r="O7" s="20" t="str">
        <f>"Best Plan # " &amp; INDEX(SimResults!A2:A10, MATCH(MAX(SimResults!D2:D10), SimResults!D2:D10, 0))</f>
        <v>Best Plan # 9</v>
      </c>
      <c r="P7" s="21"/>
      <c r="Q7" s="22"/>
      <c r="R7" s="20"/>
      <c r="S7" s="21"/>
      <c r="T7" s="26"/>
    </row>
    <row r="8" spans="9:20" x14ac:dyDescent="0.25">
      <c r="I8" s="23"/>
      <c r="J8" s="24"/>
      <c r="K8" s="25"/>
      <c r="L8" s="23"/>
      <c r="M8" s="24"/>
      <c r="N8" s="25"/>
      <c r="O8" s="23"/>
      <c r="P8" s="24"/>
      <c r="Q8" s="25"/>
      <c r="R8" s="23"/>
      <c r="S8" s="24"/>
      <c r="T8" s="27"/>
    </row>
    <row r="14" spans="9:20" ht="13" x14ac:dyDescent="0.3">
      <c r="I14" s="19" t="s">
        <v>51</v>
      </c>
      <c r="J14" s="19" t="s">
        <v>52</v>
      </c>
      <c r="K14" s="19" t="s">
        <v>53</v>
      </c>
      <c r="L14" s="19" t="s">
        <v>54</v>
      </c>
      <c r="M14" s="19" t="s">
        <v>55</v>
      </c>
    </row>
    <row r="15" spans="9:20" x14ac:dyDescent="0.25">
      <c r="I15" s="18">
        <v>1</v>
      </c>
      <c r="J15" s="17">
        <f>SimResults!B2</f>
        <v>500</v>
      </c>
      <c r="K15" s="17">
        <f>SimResults!C2</f>
        <v>500</v>
      </c>
      <c r="L15" s="17">
        <f>SimResults!D2</f>
        <v>9279.35</v>
      </c>
      <c r="M15" s="17">
        <f>SimResults!E2</f>
        <v>180.87791462758148</v>
      </c>
    </row>
    <row r="16" spans="9:20" x14ac:dyDescent="0.25">
      <c r="I16" s="18">
        <v>2</v>
      </c>
      <c r="J16" s="17">
        <f>SimResults!B3</f>
        <v>500</v>
      </c>
      <c r="K16" s="17">
        <f>SimResults!C3</f>
        <v>700</v>
      </c>
      <c r="L16" s="17">
        <f>SimResults!D3</f>
        <v>10931.825000000001</v>
      </c>
      <c r="M16" s="17">
        <f>SimResults!E3</f>
        <v>198.59093949612483</v>
      </c>
    </row>
    <row r="17" spans="9:13" x14ac:dyDescent="0.25">
      <c r="I17" s="18">
        <v>3</v>
      </c>
      <c r="J17" s="17">
        <f>SimResults!B4</f>
        <v>500</v>
      </c>
      <c r="K17" s="17">
        <f>SimResults!C4</f>
        <v>900</v>
      </c>
      <c r="L17" s="17">
        <f>SimResults!D4</f>
        <v>12502.775000000001</v>
      </c>
      <c r="M17" s="17">
        <f>SimResults!E4</f>
        <v>188.19646981262861</v>
      </c>
    </row>
    <row r="18" spans="9:13" x14ac:dyDescent="0.25">
      <c r="I18" s="18">
        <v>4</v>
      </c>
      <c r="J18" s="17">
        <f>SimResults!B5</f>
        <v>700</v>
      </c>
      <c r="K18" s="17">
        <f>SimResults!C5</f>
        <v>500</v>
      </c>
      <c r="L18" s="17">
        <f>SimResults!D5</f>
        <v>11070.45</v>
      </c>
      <c r="M18" s="17">
        <f>SimResults!E5</f>
        <v>221.04157979883655</v>
      </c>
    </row>
    <row r="19" spans="9:13" x14ac:dyDescent="0.25">
      <c r="I19" s="18">
        <v>5</v>
      </c>
      <c r="J19" s="17">
        <f>SimResults!B6</f>
        <v>700</v>
      </c>
      <c r="K19" s="17">
        <f>SimResults!C6</f>
        <v>700</v>
      </c>
      <c r="L19" s="17">
        <f>SimResults!D6</f>
        <v>12641.400000000001</v>
      </c>
      <c r="M19" s="17">
        <f>SimResults!E6</f>
        <v>210.64711011529141</v>
      </c>
    </row>
    <row r="20" spans="9:13" x14ac:dyDescent="0.25">
      <c r="I20" s="18">
        <v>6</v>
      </c>
      <c r="J20" s="17">
        <f>SimResults!B7</f>
        <v>700</v>
      </c>
      <c r="K20" s="17">
        <f>SimResults!C7</f>
        <v>900</v>
      </c>
      <c r="L20" s="17">
        <f>SimResults!D7</f>
        <v>14158.125</v>
      </c>
      <c r="M20" s="17">
        <f>SimResults!E7</f>
        <v>224.75389040021309</v>
      </c>
    </row>
    <row r="21" spans="9:13" x14ac:dyDescent="0.25">
      <c r="I21" s="18">
        <v>7</v>
      </c>
      <c r="J21" s="17">
        <f>SimResults!B8</f>
        <v>900</v>
      </c>
      <c r="K21" s="17">
        <f>SimResults!C8</f>
        <v>500</v>
      </c>
      <c r="L21" s="17">
        <f>SimResults!D8</f>
        <v>12742.025000000001</v>
      </c>
      <c r="M21" s="17">
        <f>SimResults!E8</f>
        <v>234.86551737105086</v>
      </c>
    </row>
    <row r="22" spans="9:13" x14ac:dyDescent="0.25">
      <c r="I22" s="18">
        <v>8</v>
      </c>
      <c r="J22" s="17">
        <f>SimResults!B9</f>
        <v>900</v>
      </c>
      <c r="K22" s="17">
        <f>SimResults!C9</f>
        <v>700</v>
      </c>
      <c r="L22" s="17">
        <f>SimResults!D9</f>
        <v>14258.75</v>
      </c>
      <c r="M22" s="17">
        <f>SimResults!E9</f>
        <v>248.97229765574986</v>
      </c>
    </row>
    <row r="23" spans="9:13" x14ac:dyDescent="0.25">
      <c r="I23" s="18">
        <v>9</v>
      </c>
      <c r="J23" s="17">
        <f>SimResults!B10</f>
        <v>900</v>
      </c>
      <c r="K23" s="17">
        <f>SimResults!C10</f>
        <v>900</v>
      </c>
      <c r="L23" s="17">
        <f>SimResults!D10</f>
        <v>15100.4</v>
      </c>
      <c r="M23" s="17">
        <f>SimResults!E10</f>
        <v>1140.775370088254</v>
      </c>
    </row>
    <row r="24" spans="9:13" x14ac:dyDescent="0.25">
      <c r="I24" s="17"/>
      <c r="J24" s="17"/>
      <c r="K24" s="17"/>
      <c r="L24" s="17"/>
      <c r="M24" s="17"/>
    </row>
  </sheetData>
  <mergeCells count="4">
    <mergeCell ref="I7:K8"/>
    <mergeCell ref="L7:N8"/>
    <mergeCell ref="O7:Q8"/>
    <mergeCell ref="R7:T8"/>
  </mergeCells>
  <phoneticPr fontId="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C775-5B35-4131-B1E1-A098C6EE55F6}">
  <sheetPr codeName="Sheet2"/>
  <dimension ref="A1:E10"/>
  <sheetViews>
    <sheetView workbookViewId="0"/>
  </sheetViews>
  <sheetFormatPr defaultRowHeight="12.5" x14ac:dyDescent="0.25"/>
  <cols>
    <col min="1" max="1" width="4.26953125" bestFit="1" customWidth="1"/>
    <col min="2" max="2" width="14.26953125" bestFit="1" customWidth="1"/>
    <col min="3" max="3" width="16.453125" bestFit="1" customWidth="1"/>
    <col min="4" max="4" width="18.81640625" bestFit="1" customWidth="1"/>
    <col min="5" max="5" width="13.1796875" bestFit="1" customWidth="1"/>
  </cols>
  <sheetData>
    <row r="1" spans="1:5" x14ac:dyDescent="0.25">
      <c r="A1" t="s">
        <v>51</v>
      </c>
      <c r="B1" t="s">
        <v>52</v>
      </c>
      <c r="C1" t="s">
        <v>53</v>
      </c>
      <c r="D1" t="s">
        <v>54</v>
      </c>
      <c r="E1" t="s">
        <v>55</v>
      </c>
    </row>
    <row r="2" spans="1:5" x14ac:dyDescent="0.25">
      <c r="A2">
        <v>1</v>
      </c>
      <c r="B2">
        <v>500</v>
      </c>
      <c r="C2">
        <v>500</v>
      </c>
      <c r="D2">
        <v>9279.35</v>
      </c>
      <c r="E2">
        <v>180.87791462758148</v>
      </c>
    </row>
    <row r="3" spans="1:5" x14ac:dyDescent="0.25">
      <c r="A3">
        <v>2</v>
      </c>
      <c r="B3">
        <v>500</v>
      </c>
      <c r="C3">
        <v>700</v>
      </c>
      <c r="D3">
        <v>10931.825000000001</v>
      </c>
      <c r="E3">
        <v>198.59093949612483</v>
      </c>
    </row>
    <row r="4" spans="1:5" x14ac:dyDescent="0.25">
      <c r="A4">
        <v>3</v>
      </c>
      <c r="B4">
        <v>500</v>
      </c>
      <c r="C4">
        <v>900</v>
      </c>
      <c r="D4">
        <v>12502.775000000001</v>
      </c>
      <c r="E4">
        <v>188.19646981262861</v>
      </c>
    </row>
    <row r="5" spans="1:5" x14ac:dyDescent="0.25">
      <c r="A5">
        <v>4</v>
      </c>
      <c r="B5">
        <v>700</v>
      </c>
      <c r="C5">
        <v>500</v>
      </c>
      <c r="D5">
        <v>11070.45</v>
      </c>
      <c r="E5">
        <v>221.04157979883655</v>
      </c>
    </row>
    <row r="6" spans="1:5" x14ac:dyDescent="0.25">
      <c r="A6">
        <v>5</v>
      </c>
      <c r="B6">
        <v>700</v>
      </c>
      <c r="C6">
        <v>700</v>
      </c>
      <c r="D6">
        <v>12641.400000000001</v>
      </c>
      <c r="E6">
        <v>210.64711011529141</v>
      </c>
    </row>
    <row r="7" spans="1:5" x14ac:dyDescent="0.25">
      <c r="A7">
        <v>6</v>
      </c>
      <c r="B7">
        <v>700</v>
      </c>
      <c r="C7">
        <v>900</v>
      </c>
      <c r="D7">
        <v>14158.125</v>
      </c>
      <c r="E7">
        <v>224.75389040021309</v>
      </c>
    </row>
    <row r="8" spans="1:5" x14ac:dyDescent="0.25">
      <c r="A8">
        <v>7</v>
      </c>
      <c r="B8">
        <v>900</v>
      </c>
      <c r="C8">
        <v>500</v>
      </c>
      <c r="D8">
        <v>12742.025000000001</v>
      </c>
      <c r="E8">
        <v>234.86551737105086</v>
      </c>
    </row>
    <row r="9" spans="1:5" x14ac:dyDescent="0.25">
      <c r="A9">
        <v>8</v>
      </c>
      <c r="B9">
        <v>900</v>
      </c>
      <c r="C9">
        <v>700</v>
      </c>
      <c r="D9">
        <v>14258.75</v>
      </c>
      <c r="E9">
        <v>248.97229765574986</v>
      </c>
    </row>
    <row r="10" spans="1:5" x14ac:dyDescent="0.25">
      <c r="A10" s="15">
        <v>9</v>
      </c>
      <c r="B10" s="15">
        <v>900</v>
      </c>
      <c r="C10" s="15">
        <v>900</v>
      </c>
      <c r="D10" s="15">
        <v>15100.4</v>
      </c>
      <c r="E10" s="15">
        <v>1140.775370088254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4491C-4A41-4402-BB32-F3C06B6CBBDD}">
  <sheetPr codeName="Sheet3"/>
  <dimension ref="C1:D21"/>
  <sheetViews>
    <sheetView showGridLines="0" topLeftCell="A3" workbookViewId="0">
      <selection activeCell="A17" sqref="A17"/>
    </sheetView>
  </sheetViews>
  <sheetFormatPr defaultRowHeight="12.5" x14ac:dyDescent="0.25"/>
  <cols>
    <col min="1" max="1" width="16.6328125" bestFit="1" customWidth="1"/>
    <col min="3" max="3" width="8.6328125" bestFit="1" customWidth="1"/>
    <col min="4" max="4" width="9.1796875" bestFit="1" customWidth="1"/>
  </cols>
  <sheetData>
    <row r="1" spans="3:4" x14ac:dyDescent="0.25">
      <c r="C1" t="s">
        <v>56</v>
      </c>
      <c r="D1" t="s">
        <v>57</v>
      </c>
    </row>
    <row r="2" spans="3:4" x14ac:dyDescent="0.25">
      <c r="C2">
        <v>9164.2400000000016</v>
      </c>
      <c r="D2">
        <v>1</v>
      </c>
    </row>
    <row r="3" spans="3:4" x14ac:dyDescent="0.25">
      <c r="C3">
        <v>9177.0300000000007</v>
      </c>
      <c r="D3">
        <v>0</v>
      </c>
    </row>
    <row r="4" spans="3:4" x14ac:dyDescent="0.25">
      <c r="C4">
        <v>9189.82</v>
      </c>
      <c r="D4">
        <v>0</v>
      </c>
    </row>
    <row r="5" spans="3:4" x14ac:dyDescent="0.25">
      <c r="C5">
        <v>9202.61</v>
      </c>
      <c r="D5">
        <v>0</v>
      </c>
    </row>
    <row r="6" spans="3:4" x14ac:dyDescent="0.25">
      <c r="C6">
        <v>9215.4000000000015</v>
      </c>
      <c r="D6">
        <v>0</v>
      </c>
    </row>
    <row r="7" spans="3:4" x14ac:dyDescent="0.25">
      <c r="C7">
        <v>9228.19</v>
      </c>
      <c r="D7">
        <v>0</v>
      </c>
    </row>
    <row r="8" spans="3:4" x14ac:dyDescent="0.25">
      <c r="C8">
        <v>9240.98</v>
      </c>
      <c r="D8">
        <v>0</v>
      </c>
    </row>
    <row r="9" spans="3:4" x14ac:dyDescent="0.25">
      <c r="C9">
        <v>9253.77</v>
      </c>
      <c r="D9">
        <v>0</v>
      </c>
    </row>
    <row r="10" spans="3:4" x14ac:dyDescent="0.25">
      <c r="C10">
        <v>9266.5600000000013</v>
      </c>
      <c r="D10">
        <v>0</v>
      </c>
    </row>
    <row r="11" spans="3:4" x14ac:dyDescent="0.25">
      <c r="C11">
        <v>9279.35</v>
      </c>
      <c r="D11">
        <v>0</v>
      </c>
    </row>
    <row r="12" spans="3:4" x14ac:dyDescent="0.25">
      <c r="C12">
        <v>9292.14</v>
      </c>
      <c r="D12">
        <v>0</v>
      </c>
    </row>
    <row r="13" spans="3:4" x14ac:dyDescent="0.25">
      <c r="C13">
        <v>9304.93</v>
      </c>
      <c r="D13">
        <v>0</v>
      </c>
    </row>
    <row r="14" spans="3:4" x14ac:dyDescent="0.25">
      <c r="C14">
        <v>9317.7200000000012</v>
      </c>
      <c r="D14">
        <v>0</v>
      </c>
    </row>
    <row r="15" spans="3:4" x14ac:dyDescent="0.25">
      <c r="C15">
        <v>9330.51</v>
      </c>
      <c r="D15">
        <v>0</v>
      </c>
    </row>
    <row r="16" spans="3:4" x14ac:dyDescent="0.25">
      <c r="C16">
        <v>9343.2999999999993</v>
      </c>
      <c r="D16">
        <v>0</v>
      </c>
    </row>
    <row r="17" spans="3:4" x14ac:dyDescent="0.25">
      <c r="C17">
        <v>9356.09</v>
      </c>
      <c r="D17">
        <v>0</v>
      </c>
    </row>
    <row r="18" spans="3:4" x14ac:dyDescent="0.25">
      <c r="C18">
        <v>9368.880000000001</v>
      </c>
      <c r="D18">
        <v>0</v>
      </c>
    </row>
    <row r="19" spans="3:4" x14ac:dyDescent="0.25">
      <c r="C19">
        <v>9381.67</v>
      </c>
      <c r="D19">
        <v>0</v>
      </c>
    </row>
    <row r="20" spans="3:4" x14ac:dyDescent="0.25">
      <c r="C20">
        <v>9394.4599999999991</v>
      </c>
      <c r="D20">
        <v>0</v>
      </c>
    </row>
    <row r="21" spans="3:4" x14ac:dyDescent="0.25">
      <c r="C21">
        <v>9407.25</v>
      </c>
      <c r="D21"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A8A74-B612-41A5-B073-FEC66B50E2F0}">
  <sheetPr codeName="Sheet4"/>
  <dimension ref="C1:D21"/>
  <sheetViews>
    <sheetView showGridLines="0" topLeftCell="A13" workbookViewId="0">
      <selection activeCell="A17" sqref="A17"/>
    </sheetView>
  </sheetViews>
  <sheetFormatPr defaultRowHeight="12.5" x14ac:dyDescent="0.25"/>
  <cols>
    <col min="1" max="1" width="16.6328125" bestFit="1" customWidth="1"/>
    <col min="3" max="3" width="10.81640625" bestFit="1" customWidth="1"/>
    <col min="4" max="4" width="9.1796875" bestFit="1" customWidth="1"/>
  </cols>
  <sheetData>
    <row r="1" spans="3:4" x14ac:dyDescent="0.25">
      <c r="C1" t="s">
        <v>56</v>
      </c>
      <c r="D1" t="s">
        <v>57</v>
      </c>
    </row>
    <row r="2" spans="3:4" x14ac:dyDescent="0.25">
      <c r="C2">
        <v>10805.442499999999</v>
      </c>
      <c r="D2">
        <v>1</v>
      </c>
    </row>
    <row r="3" spans="3:4" x14ac:dyDescent="0.25">
      <c r="C3">
        <v>10819.485000000001</v>
      </c>
      <c r="D3">
        <v>0</v>
      </c>
    </row>
    <row r="4" spans="3:4" x14ac:dyDescent="0.25">
      <c r="C4">
        <v>10833.5275</v>
      </c>
      <c r="D4">
        <v>0</v>
      </c>
    </row>
    <row r="5" spans="3:4" x14ac:dyDescent="0.25">
      <c r="C5">
        <v>10847.57</v>
      </c>
      <c r="D5">
        <v>0</v>
      </c>
    </row>
    <row r="6" spans="3:4" x14ac:dyDescent="0.25">
      <c r="C6">
        <v>10861.612499999999</v>
      </c>
      <c r="D6">
        <v>0</v>
      </c>
    </row>
    <row r="7" spans="3:4" x14ac:dyDescent="0.25">
      <c r="C7">
        <v>10875.654999999999</v>
      </c>
      <c r="D7">
        <v>0</v>
      </c>
    </row>
    <row r="8" spans="3:4" x14ac:dyDescent="0.25">
      <c r="C8">
        <v>10889.6975</v>
      </c>
      <c r="D8">
        <v>0</v>
      </c>
    </row>
    <row r="9" spans="3:4" x14ac:dyDescent="0.25">
      <c r="C9">
        <v>10903.74</v>
      </c>
      <c r="D9">
        <v>0</v>
      </c>
    </row>
    <row r="10" spans="3:4" x14ac:dyDescent="0.25">
      <c r="C10">
        <v>10917.782499999999</v>
      </c>
      <c r="D10">
        <v>0</v>
      </c>
    </row>
    <row r="11" spans="3:4" x14ac:dyDescent="0.25">
      <c r="C11">
        <v>10931.825000000001</v>
      </c>
      <c r="D11">
        <v>0</v>
      </c>
    </row>
    <row r="12" spans="3:4" x14ac:dyDescent="0.25">
      <c r="C12">
        <v>10945.8675</v>
      </c>
      <c r="D12">
        <v>0</v>
      </c>
    </row>
    <row r="13" spans="3:4" x14ac:dyDescent="0.25">
      <c r="C13">
        <v>10959.91</v>
      </c>
      <c r="D13">
        <v>0</v>
      </c>
    </row>
    <row r="14" spans="3:4" x14ac:dyDescent="0.25">
      <c r="C14">
        <v>10973.952499999999</v>
      </c>
      <c r="D14">
        <v>0</v>
      </c>
    </row>
    <row r="15" spans="3:4" x14ac:dyDescent="0.25">
      <c r="C15">
        <v>10987.994999999999</v>
      </c>
      <c r="D15">
        <v>0</v>
      </c>
    </row>
    <row r="16" spans="3:4" x14ac:dyDescent="0.25">
      <c r="C16">
        <v>11002.0375</v>
      </c>
      <c r="D16">
        <v>0</v>
      </c>
    </row>
    <row r="17" spans="3:4" x14ac:dyDescent="0.25">
      <c r="C17">
        <v>11016.08</v>
      </c>
      <c r="D17">
        <v>0</v>
      </c>
    </row>
    <row r="18" spans="3:4" x14ac:dyDescent="0.25">
      <c r="C18">
        <v>11030.122499999999</v>
      </c>
      <c r="D18">
        <v>0</v>
      </c>
    </row>
    <row r="19" spans="3:4" x14ac:dyDescent="0.25">
      <c r="C19">
        <v>11044.165000000001</v>
      </c>
      <c r="D19">
        <v>0</v>
      </c>
    </row>
    <row r="20" spans="3:4" x14ac:dyDescent="0.25">
      <c r="C20">
        <v>11058.2075</v>
      </c>
      <c r="D20">
        <v>0</v>
      </c>
    </row>
    <row r="21" spans="3:4" x14ac:dyDescent="0.25">
      <c r="C21">
        <v>11072.25</v>
      </c>
      <c r="D21"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AC0BB-D183-4E42-AE36-472661461BE0}">
  <sheetPr codeName="Sheet5"/>
  <dimension ref="C1:D21"/>
  <sheetViews>
    <sheetView showGridLines="0" workbookViewId="0"/>
  </sheetViews>
  <sheetFormatPr defaultRowHeight="12.5" x14ac:dyDescent="0.25"/>
  <cols>
    <col min="1" max="1" width="16.6328125" bestFit="1" customWidth="1"/>
    <col min="3" max="3" width="10.81640625" bestFit="1" customWidth="1"/>
    <col min="4" max="4" width="9.1796875" bestFit="1" customWidth="1"/>
  </cols>
  <sheetData>
    <row r="1" spans="3:4" x14ac:dyDescent="0.25">
      <c r="C1" t="s">
        <v>56</v>
      </c>
      <c r="D1" t="s">
        <v>57</v>
      </c>
    </row>
    <row r="2" spans="3:4" x14ac:dyDescent="0.25">
      <c r="C2">
        <v>12383.007500000002</v>
      </c>
      <c r="D2">
        <v>1</v>
      </c>
    </row>
    <row r="3" spans="3:4" x14ac:dyDescent="0.25">
      <c r="C3">
        <v>12396.315000000001</v>
      </c>
      <c r="D3">
        <v>0</v>
      </c>
    </row>
    <row r="4" spans="3:4" x14ac:dyDescent="0.25">
      <c r="C4">
        <v>12409.622500000001</v>
      </c>
      <c r="D4">
        <v>0</v>
      </c>
    </row>
    <row r="5" spans="3:4" x14ac:dyDescent="0.25">
      <c r="C5">
        <v>12422.93</v>
      </c>
      <c r="D5">
        <v>0</v>
      </c>
    </row>
    <row r="6" spans="3:4" x14ac:dyDescent="0.25">
      <c r="C6">
        <v>12436.237500000001</v>
      </c>
      <c r="D6">
        <v>0</v>
      </c>
    </row>
    <row r="7" spans="3:4" x14ac:dyDescent="0.25">
      <c r="C7">
        <v>12449.545</v>
      </c>
      <c r="D7">
        <v>0</v>
      </c>
    </row>
    <row r="8" spans="3:4" x14ac:dyDescent="0.25">
      <c r="C8">
        <v>12462.852500000001</v>
      </c>
      <c r="D8">
        <v>0</v>
      </c>
    </row>
    <row r="9" spans="3:4" x14ac:dyDescent="0.25">
      <c r="C9">
        <v>12476.16</v>
      </c>
      <c r="D9">
        <v>0</v>
      </c>
    </row>
    <row r="10" spans="3:4" x14ac:dyDescent="0.25">
      <c r="C10">
        <v>12489.467500000001</v>
      </c>
      <c r="D10">
        <v>0</v>
      </c>
    </row>
    <row r="11" spans="3:4" x14ac:dyDescent="0.25">
      <c r="C11">
        <v>12502.775</v>
      </c>
      <c r="D11">
        <v>0</v>
      </c>
    </row>
    <row r="12" spans="3:4" x14ac:dyDescent="0.25">
      <c r="C12">
        <v>12516.0825</v>
      </c>
      <c r="D12">
        <v>0</v>
      </c>
    </row>
    <row r="13" spans="3:4" x14ac:dyDescent="0.25">
      <c r="C13">
        <v>12529.390000000001</v>
      </c>
      <c r="D13">
        <v>0</v>
      </c>
    </row>
    <row r="14" spans="3:4" x14ac:dyDescent="0.25">
      <c r="C14">
        <v>12542.6975</v>
      </c>
      <c r="D14">
        <v>0</v>
      </c>
    </row>
    <row r="15" spans="3:4" x14ac:dyDescent="0.25">
      <c r="C15">
        <v>12556.005000000001</v>
      </c>
      <c r="D15">
        <v>0</v>
      </c>
    </row>
    <row r="16" spans="3:4" x14ac:dyDescent="0.25">
      <c r="C16">
        <v>12569.3125</v>
      </c>
      <c r="D16">
        <v>0</v>
      </c>
    </row>
    <row r="17" spans="3:4" x14ac:dyDescent="0.25">
      <c r="C17">
        <v>12582.62</v>
      </c>
      <c r="D17">
        <v>0</v>
      </c>
    </row>
    <row r="18" spans="3:4" x14ac:dyDescent="0.25">
      <c r="C18">
        <v>12595.9275</v>
      </c>
      <c r="D18">
        <v>0</v>
      </c>
    </row>
    <row r="19" spans="3:4" x14ac:dyDescent="0.25">
      <c r="C19">
        <v>12609.235000000001</v>
      </c>
      <c r="D19">
        <v>0</v>
      </c>
    </row>
    <row r="20" spans="3:4" x14ac:dyDescent="0.25">
      <c r="C20">
        <v>12622.5425</v>
      </c>
      <c r="D20">
        <v>0</v>
      </c>
    </row>
    <row r="21" spans="3:4" x14ac:dyDescent="0.25">
      <c r="C21">
        <v>12635.85</v>
      </c>
      <c r="D21">
        <v>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E4CB0-4A05-4764-A9EB-BC7DD20CDB7A}">
  <sheetPr codeName="Sheet6"/>
  <dimension ref="C1:D21"/>
  <sheetViews>
    <sheetView showGridLines="0" workbookViewId="0"/>
  </sheetViews>
  <sheetFormatPr defaultRowHeight="12.5" x14ac:dyDescent="0.25"/>
  <cols>
    <col min="1" max="1" width="16.6328125" bestFit="1" customWidth="1"/>
    <col min="3" max="3" width="8.81640625" bestFit="1" customWidth="1"/>
    <col min="4" max="4" width="9.1796875" bestFit="1" customWidth="1"/>
  </cols>
  <sheetData>
    <row r="1" spans="3:4" x14ac:dyDescent="0.25">
      <c r="C1" t="s">
        <v>56</v>
      </c>
      <c r="D1" t="s">
        <v>57</v>
      </c>
    </row>
    <row r="2" spans="3:4" x14ac:dyDescent="0.25">
      <c r="C2">
        <v>10929.779999999999</v>
      </c>
      <c r="D2">
        <v>1</v>
      </c>
    </row>
    <row r="3" spans="3:4" x14ac:dyDescent="0.25">
      <c r="C3">
        <v>10945.41</v>
      </c>
      <c r="D3">
        <v>0</v>
      </c>
    </row>
    <row r="4" spans="3:4" x14ac:dyDescent="0.25">
      <c r="C4">
        <v>10961.039999999999</v>
      </c>
      <c r="D4">
        <v>0</v>
      </c>
    </row>
    <row r="5" spans="3:4" x14ac:dyDescent="0.25">
      <c r="C5">
        <v>10976.67</v>
      </c>
      <c r="D5">
        <v>0</v>
      </c>
    </row>
    <row r="6" spans="3:4" x14ac:dyDescent="0.25">
      <c r="C6">
        <v>10992.3</v>
      </c>
      <c r="D6">
        <v>0</v>
      </c>
    </row>
    <row r="7" spans="3:4" x14ac:dyDescent="0.25">
      <c r="C7">
        <v>11007.93</v>
      </c>
      <c r="D7">
        <v>0</v>
      </c>
    </row>
    <row r="8" spans="3:4" x14ac:dyDescent="0.25">
      <c r="C8">
        <v>11023.56</v>
      </c>
      <c r="D8">
        <v>0</v>
      </c>
    </row>
    <row r="9" spans="3:4" x14ac:dyDescent="0.25">
      <c r="C9">
        <v>11039.19</v>
      </c>
      <c r="D9">
        <v>0</v>
      </c>
    </row>
    <row r="10" spans="3:4" x14ac:dyDescent="0.25">
      <c r="C10">
        <v>11054.82</v>
      </c>
      <c r="D10">
        <v>0</v>
      </c>
    </row>
    <row r="11" spans="3:4" x14ac:dyDescent="0.25">
      <c r="C11">
        <v>11070.45</v>
      </c>
      <c r="D11">
        <v>0</v>
      </c>
    </row>
    <row r="12" spans="3:4" x14ac:dyDescent="0.25">
      <c r="C12">
        <v>11086.08</v>
      </c>
      <c r="D12">
        <v>0</v>
      </c>
    </row>
    <row r="13" spans="3:4" x14ac:dyDescent="0.25">
      <c r="C13">
        <v>11101.71</v>
      </c>
      <c r="D13">
        <v>0</v>
      </c>
    </row>
    <row r="14" spans="3:4" x14ac:dyDescent="0.25">
      <c r="C14">
        <v>11117.34</v>
      </c>
      <c r="D14">
        <v>0</v>
      </c>
    </row>
    <row r="15" spans="3:4" x14ac:dyDescent="0.25">
      <c r="C15">
        <v>11132.97</v>
      </c>
      <c r="D15">
        <v>0</v>
      </c>
    </row>
    <row r="16" spans="3:4" x14ac:dyDescent="0.25">
      <c r="C16">
        <v>11148.6</v>
      </c>
      <c r="D16">
        <v>0</v>
      </c>
    </row>
    <row r="17" spans="3:4" x14ac:dyDescent="0.25">
      <c r="C17">
        <v>11164.23</v>
      </c>
      <c r="D17">
        <v>0</v>
      </c>
    </row>
    <row r="18" spans="3:4" x14ac:dyDescent="0.25">
      <c r="C18">
        <v>11179.86</v>
      </c>
      <c r="D18">
        <v>0</v>
      </c>
    </row>
    <row r="19" spans="3:4" x14ac:dyDescent="0.25">
      <c r="C19">
        <v>11195.49</v>
      </c>
      <c r="D19">
        <v>0</v>
      </c>
    </row>
    <row r="20" spans="3:4" x14ac:dyDescent="0.25">
      <c r="C20">
        <v>11211.12</v>
      </c>
      <c r="D20">
        <v>0</v>
      </c>
    </row>
    <row r="21" spans="3:4" x14ac:dyDescent="0.25">
      <c r="C21">
        <v>11226.75</v>
      </c>
      <c r="D21"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4F6-26E9-4295-8133-86F09811B0CC}">
  <sheetPr codeName="Sheet7"/>
  <dimension ref="C1:D21"/>
  <sheetViews>
    <sheetView showGridLines="0" workbookViewId="0">
      <selection activeCell="A3" sqref="A3"/>
    </sheetView>
  </sheetViews>
  <sheetFormatPr defaultRowHeight="12.5" x14ac:dyDescent="0.25"/>
  <cols>
    <col min="1" max="1" width="16.6328125" bestFit="1" customWidth="1"/>
    <col min="3" max="3" width="9.81640625" bestFit="1" customWidth="1"/>
    <col min="4" max="4" width="9.1796875" bestFit="1" customWidth="1"/>
  </cols>
  <sheetData>
    <row r="1" spans="3:4" x14ac:dyDescent="0.25">
      <c r="C1" t="s">
        <v>56</v>
      </c>
      <c r="D1" t="s">
        <v>57</v>
      </c>
    </row>
    <row r="2" spans="3:4" x14ac:dyDescent="0.25">
      <c r="C2">
        <v>12507.345000000001</v>
      </c>
      <c r="D2">
        <v>1</v>
      </c>
    </row>
    <row r="3" spans="3:4" x14ac:dyDescent="0.25">
      <c r="C3">
        <v>12522.240000000002</v>
      </c>
      <c r="D3">
        <v>0</v>
      </c>
    </row>
    <row r="4" spans="3:4" x14ac:dyDescent="0.25">
      <c r="C4">
        <v>12537.135</v>
      </c>
      <c r="D4">
        <v>0</v>
      </c>
    </row>
    <row r="5" spans="3:4" x14ac:dyDescent="0.25">
      <c r="C5">
        <v>12552.03</v>
      </c>
      <c r="D5">
        <v>0</v>
      </c>
    </row>
    <row r="6" spans="3:4" x14ac:dyDescent="0.25">
      <c r="C6">
        <v>12566.925000000001</v>
      </c>
      <c r="D6">
        <v>0</v>
      </c>
    </row>
    <row r="7" spans="3:4" x14ac:dyDescent="0.25">
      <c r="C7">
        <v>12581.82</v>
      </c>
      <c r="D7">
        <v>0</v>
      </c>
    </row>
    <row r="8" spans="3:4" x14ac:dyDescent="0.25">
      <c r="C8">
        <v>12596.715</v>
      </c>
      <c r="D8">
        <v>0</v>
      </c>
    </row>
    <row r="9" spans="3:4" x14ac:dyDescent="0.25">
      <c r="C9">
        <v>12611.61</v>
      </c>
      <c r="D9">
        <v>0</v>
      </c>
    </row>
    <row r="10" spans="3:4" x14ac:dyDescent="0.25">
      <c r="C10">
        <v>12626.505000000001</v>
      </c>
      <c r="D10">
        <v>0</v>
      </c>
    </row>
    <row r="11" spans="3:4" x14ac:dyDescent="0.25">
      <c r="C11">
        <v>12641.400000000001</v>
      </c>
      <c r="D11">
        <v>0</v>
      </c>
    </row>
    <row r="12" spans="3:4" x14ac:dyDescent="0.25">
      <c r="C12">
        <v>12656.295</v>
      </c>
      <c r="D12">
        <v>0</v>
      </c>
    </row>
    <row r="13" spans="3:4" x14ac:dyDescent="0.25">
      <c r="C13">
        <v>12671.19</v>
      </c>
      <c r="D13">
        <v>0</v>
      </c>
    </row>
    <row r="14" spans="3:4" x14ac:dyDescent="0.25">
      <c r="C14">
        <v>12686.085000000001</v>
      </c>
      <c r="D14">
        <v>0</v>
      </c>
    </row>
    <row r="15" spans="3:4" x14ac:dyDescent="0.25">
      <c r="C15">
        <v>12700.98</v>
      </c>
      <c r="D15">
        <v>0</v>
      </c>
    </row>
    <row r="16" spans="3:4" x14ac:dyDescent="0.25">
      <c r="C16">
        <v>12715.875</v>
      </c>
      <c r="D16">
        <v>0</v>
      </c>
    </row>
    <row r="17" spans="3:4" x14ac:dyDescent="0.25">
      <c r="C17">
        <v>12730.77</v>
      </c>
      <c r="D17">
        <v>0</v>
      </c>
    </row>
    <row r="18" spans="3:4" x14ac:dyDescent="0.25">
      <c r="C18">
        <v>12745.665000000001</v>
      </c>
      <c r="D18">
        <v>0</v>
      </c>
    </row>
    <row r="19" spans="3:4" x14ac:dyDescent="0.25">
      <c r="C19">
        <v>12760.560000000001</v>
      </c>
      <c r="D19">
        <v>0</v>
      </c>
    </row>
    <row r="20" spans="3:4" x14ac:dyDescent="0.25">
      <c r="C20">
        <v>12775.455</v>
      </c>
      <c r="D20">
        <v>0</v>
      </c>
    </row>
    <row r="21" spans="3:4" x14ac:dyDescent="0.25">
      <c r="C21">
        <v>12790.35</v>
      </c>
      <c r="D21">
        <v>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2A2BF-2B56-45C1-8DD4-1BBF1D1BDCF6}">
  <sheetPr codeName="Sheet8"/>
  <dimension ref="C1:D21"/>
  <sheetViews>
    <sheetView showGridLines="0" topLeftCell="C6" workbookViewId="0"/>
  </sheetViews>
  <sheetFormatPr defaultRowHeight="12.5" x14ac:dyDescent="0.25"/>
  <cols>
    <col min="1" max="1" width="16.6328125" bestFit="1" customWidth="1"/>
    <col min="3" max="3" width="10.81640625" bestFit="1" customWidth="1"/>
    <col min="4" max="4" width="9.1796875" bestFit="1" customWidth="1"/>
  </cols>
  <sheetData>
    <row r="1" spans="3:4" x14ac:dyDescent="0.25">
      <c r="C1" t="s">
        <v>56</v>
      </c>
      <c r="D1" t="s">
        <v>57</v>
      </c>
    </row>
    <row r="2" spans="3:4" x14ac:dyDescent="0.25">
      <c r="C2">
        <v>14015.092500000001</v>
      </c>
      <c r="D2">
        <v>1</v>
      </c>
    </row>
    <row r="3" spans="3:4" x14ac:dyDescent="0.25">
      <c r="C3">
        <v>14030.985000000001</v>
      </c>
      <c r="D3">
        <v>0</v>
      </c>
    </row>
    <row r="4" spans="3:4" x14ac:dyDescent="0.25">
      <c r="C4">
        <v>14046.877500000001</v>
      </c>
      <c r="D4">
        <v>0</v>
      </c>
    </row>
    <row r="5" spans="3:4" x14ac:dyDescent="0.25">
      <c r="C5">
        <v>14062.77</v>
      </c>
      <c r="D5">
        <v>0</v>
      </c>
    </row>
    <row r="6" spans="3:4" x14ac:dyDescent="0.25">
      <c r="C6">
        <v>14078.6625</v>
      </c>
      <c r="D6">
        <v>0</v>
      </c>
    </row>
    <row r="7" spans="3:4" x14ac:dyDescent="0.25">
      <c r="C7">
        <v>14094.555</v>
      </c>
      <c r="D7">
        <v>0</v>
      </c>
    </row>
    <row r="8" spans="3:4" x14ac:dyDescent="0.25">
      <c r="C8">
        <v>14110.4475</v>
      </c>
      <c r="D8">
        <v>0</v>
      </c>
    </row>
    <row r="9" spans="3:4" x14ac:dyDescent="0.25">
      <c r="C9">
        <v>14126.34</v>
      </c>
      <c r="D9">
        <v>0</v>
      </c>
    </row>
    <row r="10" spans="3:4" x14ac:dyDescent="0.25">
      <c r="C10">
        <v>14142.2325</v>
      </c>
      <c r="D10">
        <v>0</v>
      </c>
    </row>
    <row r="11" spans="3:4" x14ac:dyDescent="0.25">
      <c r="C11">
        <v>14158.125</v>
      </c>
      <c r="D11">
        <v>0</v>
      </c>
    </row>
    <row r="12" spans="3:4" x14ac:dyDescent="0.25">
      <c r="C12">
        <v>14174.0175</v>
      </c>
      <c r="D12">
        <v>0</v>
      </c>
    </row>
    <row r="13" spans="3:4" x14ac:dyDescent="0.25">
      <c r="C13">
        <v>14189.91</v>
      </c>
      <c r="D13">
        <v>0</v>
      </c>
    </row>
    <row r="14" spans="3:4" x14ac:dyDescent="0.25">
      <c r="C14">
        <v>14205.8025</v>
      </c>
      <c r="D14">
        <v>0</v>
      </c>
    </row>
    <row r="15" spans="3:4" x14ac:dyDescent="0.25">
      <c r="C15">
        <v>14221.695</v>
      </c>
      <c r="D15">
        <v>0</v>
      </c>
    </row>
    <row r="16" spans="3:4" x14ac:dyDescent="0.25">
      <c r="C16">
        <v>14237.5875</v>
      </c>
      <c r="D16">
        <v>0</v>
      </c>
    </row>
    <row r="17" spans="3:4" x14ac:dyDescent="0.25">
      <c r="C17">
        <v>14253.48</v>
      </c>
      <c r="D17">
        <v>0</v>
      </c>
    </row>
    <row r="18" spans="3:4" x14ac:dyDescent="0.25">
      <c r="C18">
        <v>14269.372499999999</v>
      </c>
      <c r="D18">
        <v>0</v>
      </c>
    </row>
    <row r="19" spans="3:4" x14ac:dyDescent="0.25">
      <c r="C19">
        <v>14285.264999999999</v>
      </c>
      <c r="D19">
        <v>0</v>
      </c>
    </row>
    <row r="20" spans="3:4" x14ac:dyDescent="0.25">
      <c r="C20">
        <v>14301.157499999999</v>
      </c>
      <c r="D20">
        <v>0</v>
      </c>
    </row>
    <row r="21" spans="3:4" x14ac:dyDescent="0.25">
      <c r="C21">
        <v>14317.05</v>
      </c>
      <c r="D21">
        <v>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796F2-28E7-44E5-9FAC-545522B86085}">
  <sheetPr codeName="Sheet9"/>
  <dimension ref="C1:D21"/>
  <sheetViews>
    <sheetView showGridLines="0" topLeftCell="P1" workbookViewId="0"/>
  </sheetViews>
  <sheetFormatPr defaultRowHeight="12.5" x14ac:dyDescent="0.25"/>
  <cols>
    <col min="1" max="1" width="16.6328125" bestFit="1" customWidth="1"/>
    <col min="3" max="3" width="10.81640625" bestFit="1" customWidth="1"/>
    <col min="4" max="4" width="9.1796875" bestFit="1" customWidth="1"/>
  </cols>
  <sheetData>
    <row r="1" spans="3:4" x14ac:dyDescent="0.25">
      <c r="C1" t="s">
        <v>56</v>
      </c>
      <c r="D1" t="s">
        <v>57</v>
      </c>
    </row>
    <row r="2" spans="3:4" x14ac:dyDescent="0.25">
      <c r="C2">
        <v>12592.557500000001</v>
      </c>
      <c r="D2">
        <v>1</v>
      </c>
    </row>
    <row r="3" spans="3:4" x14ac:dyDescent="0.25">
      <c r="C3">
        <v>12609.165000000001</v>
      </c>
      <c r="D3">
        <v>0</v>
      </c>
    </row>
    <row r="4" spans="3:4" x14ac:dyDescent="0.25">
      <c r="C4">
        <v>12625.772500000001</v>
      </c>
      <c r="D4">
        <v>0</v>
      </c>
    </row>
    <row r="5" spans="3:4" x14ac:dyDescent="0.25">
      <c r="C5">
        <v>12642.380000000001</v>
      </c>
      <c r="D5">
        <v>0</v>
      </c>
    </row>
    <row r="6" spans="3:4" x14ac:dyDescent="0.25">
      <c r="C6">
        <v>12658.987500000001</v>
      </c>
      <c r="D6">
        <v>0</v>
      </c>
    </row>
    <row r="7" spans="3:4" x14ac:dyDescent="0.25">
      <c r="C7">
        <v>12675.595000000001</v>
      </c>
      <c r="D7">
        <v>0</v>
      </c>
    </row>
    <row r="8" spans="3:4" x14ac:dyDescent="0.25">
      <c r="C8">
        <v>12692.202500000001</v>
      </c>
      <c r="D8">
        <v>0</v>
      </c>
    </row>
    <row r="9" spans="3:4" x14ac:dyDescent="0.25">
      <c r="C9">
        <v>12708.810000000001</v>
      </c>
      <c r="D9">
        <v>0</v>
      </c>
    </row>
    <row r="10" spans="3:4" x14ac:dyDescent="0.25">
      <c r="C10">
        <v>12725.417500000001</v>
      </c>
      <c r="D10">
        <v>0</v>
      </c>
    </row>
    <row r="11" spans="3:4" x14ac:dyDescent="0.25">
      <c r="C11">
        <v>12742.025</v>
      </c>
      <c r="D11">
        <v>0</v>
      </c>
    </row>
    <row r="12" spans="3:4" x14ac:dyDescent="0.25">
      <c r="C12">
        <v>12758.6325</v>
      </c>
      <c r="D12">
        <v>0</v>
      </c>
    </row>
    <row r="13" spans="3:4" x14ac:dyDescent="0.25">
      <c r="C13">
        <v>12775.24</v>
      </c>
      <c r="D13">
        <v>0</v>
      </c>
    </row>
    <row r="14" spans="3:4" x14ac:dyDescent="0.25">
      <c r="C14">
        <v>12791.8475</v>
      </c>
      <c r="D14">
        <v>0</v>
      </c>
    </row>
    <row r="15" spans="3:4" x14ac:dyDescent="0.25">
      <c r="C15">
        <v>12808.455</v>
      </c>
      <c r="D15">
        <v>0</v>
      </c>
    </row>
    <row r="16" spans="3:4" x14ac:dyDescent="0.25">
      <c r="C16">
        <v>12825.0625</v>
      </c>
      <c r="D16">
        <v>0</v>
      </c>
    </row>
    <row r="17" spans="3:4" x14ac:dyDescent="0.25">
      <c r="C17">
        <v>12841.67</v>
      </c>
      <c r="D17">
        <v>0</v>
      </c>
    </row>
    <row r="18" spans="3:4" x14ac:dyDescent="0.25">
      <c r="C18">
        <v>12858.2775</v>
      </c>
      <c r="D18">
        <v>0</v>
      </c>
    </row>
    <row r="19" spans="3:4" x14ac:dyDescent="0.25">
      <c r="C19">
        <v>12874.885</v>
      </c>
      <c r="D19">
        <v>0</v>
      </c>
    </row>
    <row r="20" spans="3:4" x14ac:dyDescent="0.25">
      <c r="C20">
        <v>12891.4925</v>
      </c>
      <c r="D20">
        <v>0</v>
      </c>
    </row>
    <row r="21" spans="3:4" x14ac:dyDescent="0.25">
      <c r="C21">
        <v>12908.1</v>
      </c>
      <c r="D21">
        <v>1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4CC91-9645-4ED3-9688-B7F13161087F}">
  <sheetPr codeName="Sheet10"/>
  <dimension ref="C1:D21"/>
  <sheetViews>
    <sheetView showGridLines="0" workbookViewId="0"/>
  </sheetViews>
  <sheetFormatPr defaultRowHeight="12.5" x14ac:dyDescent="0.25"/>
  <cols>
    <col min="1" max="1" width="16.6328125" bestFit="1" customWidth="1"/>
    <col min="3" max="3" width="9.81640625" bestFit="1" customWidth="1"/>
    <col min="4" max="4" width="9.1796875" bestFit="1" customWidth="1"/>
  </cols>
  <sheetData>
    <row r="1" spans="3:4" x14ac:dyDescent="0.25">
      <c r="C1" t="s">
        <v>56</v>
      </c>
      <c r="D1" t="s">
        <v>57</v>
      </c>
    </row>
    <row r="2" spans="3:4" x14ac:dyDescent="0.25">
      <c r="C2">
        <v>14100.305</v>
      </c>
      <c r="D2">
        <v>1</v>
      </c>
    </row>
    <row r="3" spans="3:4" x14ac:dyDescent="0.25">
      <c r="C3">
        <v>14117.91</v>
      </c>
      <c r="D3">
        <v>0</v>
      </c>
    </row>
    <row r="4" spans="3:4" x14ac:dyDescent="0.25">
      <c r="C4">
        <v>14135.515000000001</v>
      </c>
      <c r="D4">
        <v>0</v>
      </c>
    </row>
    <row r="5" spans="3:4" x14ac:dyDescent="0.25">
      <c r="C5">
        <v>14153.12</v>
      </c>
      <c r="D5">
        <v>0</v>
      </c>
    </row>
    <row r="6" spans="3:4" x14ac:dyDescent="0.25">
      <c r="C6">
        <v>14170.725</v>
      </c>
      <c r="D6">
        <v>0</v>
      </c>
    </row>
    <row r="7" spans="3:4" x14ac:dyDescent="0.25">
      <c r="C7">
        <v>14188.33</v>
      </c>
      <c r="D7">
        <v>0</v>
      </c>
    </row>
    <row r="8" spans="3:4" x14ac:dyDescent="0.25">
      <c r="C8">
        <v>14205.934999999999</v>
      </c>
      <c r="D8">
        <v>0</v>
      </c>
    </row>
    <row r="9" spans="3:4" x14ac:dyDescent="0.25">
      <c r="C9">
        <v>14223.54</v>
      </c>
      <c r="D9">
        <v>0</v>
      </c>
    </row>
    <row r="10" spans="3:4" x14ac:dyDescent="0.25">
      <c r="C10">
        <v>14241.145</v>
      </c>
      <c r="D10">
        <v>0</v>
      </c>
    </row>
    <row r="11" spans="3:4" x14ac:dyDescent="0.25">
      <c r="C11">
        <v>14258.75</v>
      </c>
      <c r="D11">
        <v>0</v>
      </c>
    </row>
    <row r="12" spans="3:4" x14ac:dyDescent="0.25">
      <c r="C12">
        <v>14276.355</v>
      </c>
      <c r="D12">
        <v>0</v>
      </c>
    </row>
    <row r="13" spans="3:4" x14ac:dyDescent="0.25">
      <c r="C13">
        <v>14293.96</v>
      </c>
      <c r="D13">
        <v>0</v>
      </c>
    </row>
    <row r="14" spans="3:4" x14ac:dyDescent="0.25">
      <c r="C14">
        <v>14311.565000000001</v>
      </c>
      <c r="D14">
        <v>0</v>
      </c>
    </row>
    <row r="15" spans="3:4" x14ac:dyDescent="0.25">
      <c r="C15">
        <v>14329.17</v>
      </c>
      <c r="D15">
        <v>0</v>
      </c>
    </row>
    <row r="16" spans="3:4" x14ac:dyDescent="0.25">
      <c r="C16">
        <v>14346.775</v>
      </c>
      <c r="D16">
        <v>0</v>
      </c>
    </row>
    <row r="17" spans="3:4" x14ac:dyDescent="0.25">
      <c r="C17">
        <v>14364.38</v>
      </c>
      <c r="D17">
        <v>0</v>
      </c>
    </row>
    <row r="18" spans="3:4" x14ac:dyDescent="0.25">
      <c r="C18">
        <v>14381.984999999999</v>
      </c>
      <c r="D18">
        <v>0</v>
      </c>
    </row>
    <row r="19" spans="3:4" x14ac:dyDescent="0.25">
      <c r="C19">
        <v>14399.59</v>
      </c>
      <c r="D19">
        <v>0</v>
      </c>
    </row>
    <row r="20" spans="3:4" x14ac:dyDescent="0.25">
      <c r="C20">
        <v>14417.195</v>
      </c>
      <c r="D20">
        <v>0</v>
      </c>
    </row>
    <row r="21" spans="3:4" x14ac:dyDescent="0.25">
      <c r="C21">
        <v>14434.8</v>
      </c>
      <c r="D21"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FCBF7-07C2-4E34-959F-20BB1D474F85}">
  <sheetPr codeName="Sheet11"/>
  <dimension ref="C1:D21"/>
  <sheetViews>
    <sheetView showGridLines="0" workbookViewId="0">
      <selection activeCell="F31" sqref="F31"/>
    </sheetView>
  </sheetViews>
  <sheetFormatPr defaultRowHeight="12.5" x14ac:dyDescent="0.25"/>
  <cols>
    <col min="1" max="1" width="16.6328125" bestFit="1" customWidth="1"/>
    <col min="3" max="3" width="9.81640625" bestFit="1" customWidth="1"/>
    <col min="4" max="4" width="9.1796875" bestFit="1" customWidth="1"/>
  </cols>
  <sheetData>
    <row r="1" spans="3:4" x14ac:dyDescent="0.25">
      <c r="C1" t="s">
        <v>56</v>
      </c>
      <c r="D1" t="s">
        <v>57</v>
      </c>
    </row>
    <row r="2" spans="3:4" x14ac:dyDescent="0.25">
      <c r="C2">
        <v>14374.415000000001</v>
      </c>
      <c r="D2">
        <v>1</v>
      </c>
    </row>
    <row r="3" spans="3:4" x14ac:dyDescent="0.25">
      <c r="C3">
        <v>14455.08</v>
      </c>
      <c r="D3">
        <v>0</v>
      </c>
    </row>
    <row r="4" spans="3:4" x14ac:dyDescent="0.25">
      <c r="C4">
        <v>14535.744999999999</v>
      </c>
      <c r="D4">
        <v>0</v>
      </c>
    </row>
    <row r="5" spans="3:4" x14ac:dyDescent="0.25">
      <c r="C5">
        <v>14616.41</v>
      </c>
      <c r="D5">
        <v>0</v>
      </c>
    </row>
    <row r="6" spans="3:4" x14ac:dyDescent="0.25">
      <c r="C6">
        <v>14697.075000000001</v>
      </c>
      <c r="D6">
        <v>0</v>
      </c>
    </row>
    <row r="7" spans="3:4" x14ac:dyDescent="0.25">
      <c r="C7">
        <v>14777.74</v>
      </c>
      <c r="D7">
        <v>0</v>
      </c>
    </row>
    <row r="8" spans="3:4" x14ac:dyDescent="0.25">
      <c r="C8">
        <v>14858.404999999999</v>
      </c>
      <c r="D8">
        <v>0</v>
      </c>
    </row>
    <row r="9" spans="3:4" x14ac:dyDescent="0.25">
      <c r="C9">
        <v>14939.07</v>
      </c>
      <c r="D9">
        <v>0</v>
      </c>
    </row>
    <row r="10" spans="3:4" x14ac:dyDescent="0.25">
      <c r="C10">
        <v>15019.735000000001</v>
      </c>
      <c r="D10">
        <v>0</v>
      </c>
    </row>
    <row r="11" spans="3:4" x14ac:dyDescent="0.25">
      <c r="C11">
        <v>15100.4</v>
      </c>
      <c r="D11">
        <v>0</v>
      </c>
    </row>
    <row r="12" spans="3:4" x14ac:dyDescent="0.25">
      <c r="C12">
        <v>15181.064999999999</v>
      </c>
      <c r="D12">
        <v>0</v>
      </c>
    </row>
    <row r="13" spans="3:4" x14ac:dyDescent="0.25">
      <c r="C13">
        <v>15261.73</v>
      </c>
      <c r="D13">
        <v>0</v>
      </c>
    </row>
    <row r="14" spans="3:4" x14ac:dyDescent="0.25">
      <c r="C14">
        <v>15342.395</v>
      </c>
      <c r="D14">
        <v>0</v>
      </c>
    </row>
    <row r="15" spans="3:4" x14ac:dyDescent="0.25">
      <c r="C15">
        <v>15423.06</v>
      </c>
      <c r="D15">
        <v>0</v>
      </c>
    </row>
    <row r="16" spans="3:4" x14ac:dyDescent="0.25">
      <c r="C16">
        <v>15503.724999999999</v>
      </c>
      <c r="D16">
        <v>0</v>
      </c>
    </row>
    <row r="17" spans="3:4" x14ac:dyDescent="0.25">
      <c r="C17">
        <v>15584.39</v>
      </c>
      <c r="D17">
        <v>0</v>
      </c>
    </row>
    <row r="18" spans="3:4" x14ac:dyDescent="0.25">
      <c r="C18">
        <v>15665.055</v>
      </c>
      <c r="D18">
        <v>0</v>
      </c>
    </row>
    <row r="19" spans="3:4" x14ac:dyDescent="0.25">
      <c r="C19">
        <v>15745.72</v>
      </c>
      <c r="D19">
        <v>0</v>
      </c>
    </row>
    <row r="20" spans="3:4" x14ac:dyDescent="0.25">
      <c r="C20">
        <v>15826.384999999998</v>
      </c>
      <c r="D20">
        <v>0</v>
      </c>
    </row>
    <row r="21" spans="3:4" x14ac:dyDescent="0.25">
      <c r="C21">
        <v>15907.05</v>
      </c>
      <c r="D21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Welcome</vt:lpstr>
      <vt:lpstr>Model</vt:lpstr>
      <vt:lpstr>Sim Results Summary</vt:lpstr>
      <vt:lpstr>SimResults</vt:lpstr>
      <vt:lpstr>Plan1</vt:lpstr>
      <vt:lpstr>Plan2</vt:lpstr>
      <vt:lpstr>Plan3</vt:lpstr>
      <vt:lpstr>Plan4</vt:lpstr>
      <vt:lpstr>Plan5</vt:lpstr>
      <vt:lpstr>Plan6</vt:lpstr>
      <vt:lpstr>Plan7</vt:lpstr>
      <vt:lpstr>Plan8</vt:lpstr>
      <vt:lpstr>Plan9</vt:lpstr>
      <vt:lpstr>AmountProduced</vt:lpstr>
      <vt:lpstr>Customer1Demand</vt:lpstr>
      <vt:lpstr>Customer1Sales</vt:lpstr>
      <vt:lpstr>Customer2Demand</vt:lpstr>
      <vt:lpstr>Customer2Sales</vt:lpstr>
      <vt:lpstr>Customer3Demand</vt:lpstr>
      <vt:lpstr>Customer3Sales</vt:lpstr>
      <vt:lpstr>ProdCapToronto</vt:lpstr>
      <vt:lpstr>ProdCapVancouver</vt:lpstr>
      <vt:lpstr>ProdInToronto</vt:lpstr>
      <vt:lpstr>ProdInVancouver</vt:lpstr>
      <vt:lpstr>ProductionCapacityToronto</vt:lpstr>
      <vt:lpstr>Profit</vt:lpstr>
    </vt:vector>
  </TitlesOfParts>
  <Manager/>
  <Company>Dell Computer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Julian Scott Yeomans</dc:creator>
  <cp:keywords/>
  <dc:description/>
  <cp:lastModifiedBy>Apoorva Jishtu</cp:lastModifiedBy>
  <cp:revision/>
  <dcterms:created xsi:type="dcterms:W3CDTF">1999-08-28T01:11:13Z</dcterms:created>
  <dcterms:modified xsi:type="dcterms:W3CDTF">2025-12-03T04:49:34Z</dcterms:modified>
  <cp:category/>
  <cp:contentStatus/>
</cp:coreProperties>
</file>